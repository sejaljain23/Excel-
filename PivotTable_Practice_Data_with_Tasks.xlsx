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ins\Downloads\"/>
    </mc:Choice>
  </mc:AlternateContent>
  <xr:revisionPtr revIDLastSave="0" documentId="13_ncr:1_{8DC68605-2E29-47FD-B8AE-9CC98BA913F0}" xr6:coauthVersionLast="47" xr6:coauthVersionMax="47" xr10:uidLastSave="{00000000-0000-0000-0000-000000000000}"/>
  <bookViews>
    <workbookView xWindow="-110" yWindow="-110" windowWidth="19420" windowHeight="11500" activeTab="2" xr2:uid="{00000000-000D-0000-FFFF-FFFF00000000}"/>
  </bookViews>
  <sheets>
    <sheet name="Sheet1" sheetId="1" r:id="rId1"/>
    <sheet name="Sheet4" sheetId="5" r:id="rId2"/>
    <sheet name="Sheet5" sheetId="8" r:id="rId3"/>
    <sheet name="Sheet2" sheetId="3" r:id="rId4"/>
    <sheet name="dashboard" sheetId="12" r:id="rId5"/>
    <sheet name="Pivot Tasks" sheetId="2" r:id="rId6"/>
    <sheet name="Sheet3" sheetId="4" r:id="rId7"/>
  </sheets>
  <definedNames>
    <definedName name="NativeTimeline_Date">#N/A</definedName>
    <definedName name="NativeTimeline_Date2">#N/A</definedName>
    <definedName name="Slicer_Payment_Mode">#N/A</definedName>
    <definedName name="Slicer_Region">#N/A</definedName>
    <definedName name="Slicer_Salesperson">#N/A</definedName>
  </definedNames>
  <calcPr calcId="0"/>
  <pivotCaches>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s>
    </ext>
  </extLst>
</workbook>
</file>

<file path=xl/sharedStrings.xml><?xml version="1.0" encoding="utf-8"?>
<sst xmlns="http://schemas.openxmlformats.org/spreadsheetml/2006/main" count="320" uniqueCount="125">
  <si>
    <t>Order ID</t>
  </si>
  <si>
    <t>Date</t>
  </si>
  <si>
    <t>Region</t>
  </si>
  <si>
    <t>State</t>
  </si>
  <si>
    <t>Salesperson</t>
  </si>
  <si>
    <t>Product</t>
  </si>
  <si>
    <t>Category</t>
  </si>
  <si>
    <t>Units Sold</t>
  </si>
  <si>
    <t>Unit Price</t>
  </si>
  <si>
    <t>Revenue</t>
  </si>
  <si>
    <t>Discount</t>
  </si>
  <si>
    <t>Payment Mode</t>
  </si>
  <si>
    <t>ORD001</t>
  </si>
  <si>
    <t>North</t>
  </si>
  <si>
    <t>Delhi</t>
  </si>
  <si>
    <t>Asha</t>
  </si>
  <si>
    <t>Laptop</t>
  </si>
  <si>
    <t>Electronics</t>
  </si>
  <si>
    <t>UPI</t>
  </si>
  <si>
    <t>ORD002</t>
  </si>
  <si>
    <t>West</t>
  </si>
  <si>
    <t>Mumbai</t>
  </si>
  <si>
    <t>Rohit</t>
  </si>
  <si>
    <t>Mobile</t>
  </si>
  <si>
    <t>Card</t>
  </si>
  <si>
    <t>ORD003</t>
  </si>
  <si>
    <t>East</t>
  </si>
  <si>
    <t>Kolkata</t>
  </si>
  <si>
    <t>Komal</t>
  </si>
  <si>
    <t>Printer</t>
  </si>
  <si>
    <t>Office</t>
  </si>
  <si>
    <t>Cash</t>
  </si>
  <si>
    <t>ORD004</t>
  </si>
  <si>
    <t>South</t>
  </si>
  <si>
    <t>Chennai</t>
  </si>
  <si>
    <t>Neha</t>
  </si>
  <si>
    <t>ORD005</t>
  </si>
  <si>
    <t>Jaipur</t>
  </si>
  <si>
    <t>Tablet</t>
  </si>
  <si>
    <t>ORD006</t>
  </si>
  <si>
    <t>Pune</t>
  </si>
  <si>
    <t>Mouse</t>
  </si>
  <si>
    <t>Accessories</t>
  </si>
  <si>
    <t>ORD007</t>
  </si>
  <si>
    <t>Patna</t>
  </si>
  <si>
    <t>ORD008</t>
  </si>
  <si>
    <t>Hyderabad</t>
  </si>
  <si>
    <t>Keyboard</t>
  </si>
  <si>
    <t>ORD009</t>
  </si>
  <si>
    <t>Headphones</t>
  </si>
  <si>
    <t>ORD010</t>
  </si>
  <si>
    <t>Surat</t>
  </si>
  <si>
    <t>ORD011</t>
  </si>
  <si>
    <t>Bhubaneswar</t>
  </si>
  <si>
    <t>ORD012</t>
  </si>
  <si>
    <t>Kochi</t>
  </si>
  <si>
    <t>ORD013</t>
  </si>
  <si>
    <t>Chandigarh</t>
  </si>
  <si>
    <t>ORD014</t>
  </si>
  <si>
    <t>ORD015</t>
  </si>
  <si>
    <t>ORD016</t>
  </si>
  <si>
    <t>ORD017</t>
  </si>
  <si>
    <t>ORD018</t>
  </si>
  <si>
    <t>ORD019</t>
  </si>
  <si>
    <t>ORD020</t>
  </si>
  <si>
    <t>LEVEL 1 – BASIC SUMMARY TASKS</t>
  </si>
  <si>
    <t>1.</t>
  </si>
  <si>
    <t>Create a Pivot Table to find total Revenue by Region.</t>
  </si>
  <si>
    <t>2.</t>
  </si>
  <si>
    <t>Show total Units Sold by Product.</t>
  </si>
  <si>
    <t>3.</t>
  </si>
  <si>
    <t>Find Average Unit Price by Category.</t>
  </si>
  <si>
    <t>4.</t>
  </si>
  <si>
    <t>List Revenue generated by each Salesperson.</t>
  </si>
  <si>
    <t>LEVEL 2 – CROSS-TAB ANALYSIS</t>
  </si>
  <si>
    <t>5.</t>
  </si>
  <si>
    <t>Create a Pivot Table showing Region vs Product (Sum of Revenue).</t>
  </si>
  <si>
    <t>6.</t>
  </si>
  <si>
    <t>Create Salesperson vs Payment Mode Pivot (Count of Orders).</t>
  </si>
  <si>
    <t>7.</t>
  </si>
  <si>
    <t>Show Region vs Category with Average Revenue.</t>
  </si>
  <si>
    <t>LEVEL 3 – ADVANCED ANALYSIS</t>
  </si>
  <si>
    <t>8.</t>
  </si>
  <si>
    <t>Add a Slicer for Region and Payment Mode.</t>
  </si>
  <si>
    <t>9.</t>
  </si>
  <si>
    <t>Group Date field by Month and show monthly Revenue trend.</t>
  </si>
  <si>
    <t>10.</t>
  </si>
  <si>
    <t>Add a Calculated Field: Net Revenue = Revenue * (1 - Discount).</t>
  </si>
  <si>
    <t>11.</t>
  </si>
  <si>
    <t>Show % of Total Revenue by Product.</t>
  </si>
  <si>
    <t>12.</t>
  </si>
  <si>
    <t>Display Top 3 Products by Revenue.</t>
  </si>
  <si>
    <t>LEVEL 4 – VISUALIZATION</t>
  </si>
  <si>
    <t>13.</t>
  </si>
  <si>
    <t>Create a Pivot Chart for Revenue by Region (Clustered Column).</t>
  </si>
  <si>
    <t>14.</t>
  </si>
  <si>
    <t>Insert a Timeline for Date and analyze monthly performance.</t>
  </si>
  <si>
    <t>15.</t>
  </si>
  <si>
    <t>Try combining Slicers and Timelines for an interactive dashboard.</t>
  </si>
  <si>
    <t>Column Labels</t>
  </si>
  <si>
    <t>Grand Total</t>
  </si>
  <si>
    <t>Sum of Revenue</t>
  </si>
  <si>
    <t>Row Labels</t>
  </si>
  <si>
    <t>Sum of Units Sold</t>
  </si>
  <si>
    <t>Average of Unit Price</t>
  </si>
  <si>
    <t>1.             Create a Pivot Table to find total Revenue by Region.</t>
  </si>
  <si>
    <t>4.      List Revenue generated by each Salesperson.</t>
  </si>
  <si>
    <t>1.      Create a Pivot Table showing Region vs Product (Sum of Revenue).</t>
  </si>
  <si>
    <t>Count of Order ID</t>
  </si>
  <si>
    <t>2.               Create Salesperson vs Payment Mode Pivot (Count of Orders).</t>
  </si>
  <si>
    <t>3.          Show Region vs Category with Average Revenue.</t>
  </si>
  <si>
    <t>Average of Revenue</t>
  </si>
  <si>
    <t>1.             Add a Slicer for Region and Payment Mode.</t>
  </si>
  <si>
    <t>Count of Payment Mode</t>
  </si>
  <si>
    <t>1.       Create a Pivot Chart for Revenue by Region (Clustered Column).</t>
  </si>
  <si>
    <t>2.              Insert a Timeline for Date and analyze monthly performance.</t>
  </si>
  <si>
    <t>2.       Show total Units Sold by Product.</t>
  </si>
  <si>
    <t>3.        Show total Units Sold by Product.</t>
  </si>
  <si>
    <r>
      <rPr>
        <b/>
        <sz val="14"/>
        <color theme="1"/>
        <rFont val="Calibri"/>
        <family val="2"/>
        <scheme val="minor"/>
      </rPr>
      <t>2</t>
    </r>
    <r>
      <rPr>
        <sz val="14"/>
        <color theme="1"/>
        <rFont val="Calibri"/>
        <family val="2"/>
        <scheme val="minor"/>
      </rPr>
      <t xml:space="preserve">.   </t>
    </r>
    <r>
      <rPr>
        <b/>
        <sz val="14"/>
        <color theme="1"/>
        <rFont val="Calibri"/>
        <family val="2"/>
        <scheme val="minor"/>
      </rPr>
      <t xml:space="preserve">      Group Date field by Month and show monthly Revenue trend.</t>
    </r>
  </si>
  <si>
    <t>Sum of Field2</t>
  </si>
  <si>
    <t>3.               Add a Calculated Field: Net Revenue = Revenue * (1 - Discount).</t>
  </si>
  <si>
    <t>4.                Show % of Total Revenue by Product.</t>
  </si>
  <si>
    <t>(All)</t>
  </si>
  <si>
    <t>5.              Display Top 3 Products by Revenue.</t>
  </si>
  <si>
    <t>3.        Try combining Slicers and Timelines for an interactive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</si>
</sst>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 x14ac:knownFonts="1">
    <font>
      <sz val="11"/>
      <color theme="1"/>
      <name val="Calibri"/>
      <family val="2"/>
      <scheme val="minor"/>
    </font>
    <font>
      <b/>
      <sz val="11"/>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1" fillId="0" borderId="0" xfId="0" applyFont="1"/>
    <xf numFmtId="0" fontId="0" fillId="0" borderId="0" xfId="0" pivotButton="1"/>
    <xf numFmtId="0" fontId="0" fillId="0" borderId="0" xfId="0" applyAlignment="1">
      <alignment horizontal="left"/>
    </xf>
    <xf numFmtId="164" fontId="1" fillId="0" borderId="1" xfId="0" applyNumberFormat="1" applyFont="1" applyBorder="1" applyAlignment="1">
      <alignment horizontal="center" vertical="top"/>
    </xf>
    <xf numFmtId="164" fontId="0" fillId="0" borderId="0" xfId="0" applyNumberFormat="1"/>
    <xf numFmtId="0" fontId="2" fillId="0" borderId="0" xfId="0" applyFont="1"/>
    <xf numFmtId="14" fontId="0" fillId="0" borderId="0" xfId="0" applyNumberFormat="1" applyAlignment="1">
      <alignment horizontal="left"/>
    </xf>
    <xf numFmtId="0" fontId="3" fillId="0" borderId="0" xfId="0" applyFont="1"/>
    <xf numFmtId="0" fontId="4" fillId="0" borderId="0" xfId="0" applyFon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1/relationships/timelineCache" Target="timelineCaches/timeline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[PivotTable_Practice_Data_with_Tasks.xlsx]Sheet4!PivotTable9</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5.8333333333333334E-2"/>
          <c:y val="0.27254410906969961"/>
          <c:w val="0.7368055555555556"/>
          <c:h val="0.54792104111986006"/>
        </c:manualLayout>
      </c:layout>
      <c:doughnutChart>
        <c:varyColors val="1"/>
        <c:ser>
          <c:idx val="0"/>
          <c:order val="0"/>
          <c:tx>
            <c:strRef>
              <c:f>Sheet4!$B$5:$B$6</c:f>
              <c:strCache>
                <c:ptCount val="1"/>
                <c:pt idx="0">
                  <c:v>Card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6DA-494F-855C-AB58AD4CC00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6DA-494F-855C-AB58AD4CC00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6DA-494F-855C-AB58AD4CC00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6DA-494F-855C-AB58AD4CC0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Sheet4!$A$7:$A$11</c:f>
              <c:strCache>
                <c:ptCount val="4"/>
                <c:pt idx="0">
                  <c:v>East</c:v>
                </c:pt>
                <c:pt idx="1">
                  <c:v>North</c:v>
                </c:pt>
                <c:pt idx="2">
                  <c:v>South</c:v>
                </c:pt>
                <c:pt idx="3">
                  <c:v>West</c:v>
                </c:pt>
              </c:strCache>
            </c:strRef>
          </c:cat>
          <c:val>
            <c:numRef>
              <c:f>Sheet4!$B$7:$B$11</c:f>
              <c:numCache>
                <c:formatCode>General</c:formatCode>
                <c:ptCount val="4"/>
                <c:pt idx="0">
                  <c:v>2</c:v>
                </c:pt>
                <c:pt idx="1">
                  <c:v>1</c:v>
                </c:pt>
                <c:pt idx="2">
                  <c:v>1</c:v>
                </c:pt>
                <c:pt idx="3">
                  <c:v>2</c:v>
                </c:pt>
              </c:numCache>
            </c:numRef>
          </c:val>
          <c:extLst>
            <c:ext xmlns:c16="http://schemas.microsoft.com/office/drawing/2014/chart" uri="{C3380CC4-5D6E-409C-BE32-E72D297353CC}">
              <c16:uniqueId val="{00000000-BBD5-46B3-BB0C-A9D202C8DDDF}"/>
            </c:ext>
          </c:extLst>
        </c:ser>
        <c:ser>
          <c:idx val="1"/>
          <c:order val="1"/>
          <c:tx>
            <c:strRef>
              <c:f>Sheet4!$C$5:$C$6</c:f>
              <c:strCache>
                <c:ptCount val="1"/>
                <c:pt idx="0">
                  <c:v>Cash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Sheet4!$A$7:$A$11</c:f>
              <c:strCache>
                <c:ptCount val="4"/>
                <c:pt idx="0">
                  <c:v>East</c:v>
                </c:pt>
                <c:pt idx="1">
                  <c:v>North</c:v>
                </c:pt>
                <c:pt idx="2">
                  <c:v>South</c:v>
                </c:pt>
                <c:pt idx="3">
                  <c:v>West</c:v>
                </c:pt>
              </c:strCache>
            </c:strRef>
          </c:cat>
          <c:val>
            <c:numRef>
              <c:f>Sheet4!$C$7:$C$11</c:f>
              <c:numCache>
                <c:formatCode>General</c:formatCode>
                <c:ptCount val="4"/>
                <c:pt idx="0">
                  <c:v>1</c:v>
                </c:pt>
                <c:pt idx="1">
                  <c:v>2</c:v>
                </c:pt>
                <c:pt idx="2">
                  <c:v>2</c:v>
                </c:pt>
                <c:pt idx="3">
                  <c:v>2</c:v>
                </c:pt>
              </c:numCache>
            </c:numRef>
          </c:val>
          <c:extLst>
            <c:ext xmlns:c16="http://schemas.microsoft.com/office/drawing/2014/chart" uri="{C3380CC4-5D6E-409C-BE32-E72D297353CC}">
              <c16:uniqueId val="{00000018-F073-42F6-9BEC-5D2B98FA1FDE}"/>
            </c:ext>
          </c:extLst>
        </c:ser>
        <c:ser>
          <c:idx val="2"/>
          <c:order val="2"/>
          <c:tx>
            <c:strRef>
              <c:f>Sheet4!$D$5:$D$6</c:f>
              <c:strCache>
                <c:ptCount val="1"/>
                <c:pt idx="0">
                  <c:v>UPI</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Sheet4!$A$7:$A$11</c:f>
              <c:strCache>
                <c:ptCount val="4"/>
                <c:pt idx="0">
                  <c:v>East</c:v>
                </c:pt>
                <c:pt idx="1">
                  <c:v>North</c:v>
                </c:pt>
                <c:pt idx="2">
                  <c:v>South</c:v>
                </c:pt>
                <c:pt idx="3">
                  <c:v>West</c:v>
                </c:pt>
              </c:strCache>
            </c:strRef>
          </c:cat>
          <c:val>
            <c:numRef>
              <c:f>Sheet4!$D$7:$D$11</c:f>
              <c:numCache>
                <c:formatCode>General</c:formatCode>
                <c:ptCount val="4"/>
                <c:pt idx="0">
                  <c:v>2</c:v>
                </c:pt>
                <c:pt idx="1">
                  <c:v>2</c:v>
                </c:pt>
                <c:pt idx="2">
                  <c:v>2</c:v>
                </c:pt>
                <c:pt idx="3">
                  <c:v>1</c:v>
                </c:pt>
              </c:numCache>
            </c:numRef>
          </c:val>
          <c:extLst>
            <c:ext xmlns:c16="http://schemas.microsoft.com/office/drawing/2014/chart" uri="{C3380CC4-5D6E-409C-BE32-E72D297353CC}">
              <c16:uniqueId val="{00000019-F073-42F6-9BEC-5D2B98FA1FDE}"/>
            </c:ext>
          </c:extLst>
        </c:ser>
        <c:dLbls>
          <c:showLegendKey val="0"/>
          <c:showVal val="0"/>
          <c:showCatName val="1"/>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[PivotTable_Practice_Data_with_Tasks.xlsx]Sheet5!PivotTable18</c:name>
    <c:fmtId val="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Sheet5!$A$7:$A$11</c:f>
              <c:strCache>
                <c:ptCount val="4"/>
                <c:pt idx="0">
                  <c:v>East</c:v>
                </c:pt>
                <c:pt idx="1">
                  <c:v>North</c:v>
                </c:pt>
                <c:pt idx="2">
                  <c:v>South</c:v>
                </c:pt>
                <c:pt idx="3">
                  <c:v>West</c:v>
                </c:pt>
              </c:strCache>
            </c:strRef>
          </c:cat>
          <c:val>
            <c:numRef>
              <c:f>Sheet5!$B$7:$B$11</c:f>
              <c:numCache>
                <c:formatCode>General</c:formatCode>
                <c:ptCount val="4"/>
                <c:pt idx="0">
                  <c:v>411000</c:v>
                </c:pt>
                <c:pt idx="1">
                  <c:v>917000</c:v>
                </c:pt>
                <c:pt idx="2">
                  <c:v>689500</c:v>
                </c:pt>
                <c:pt idx="3">
                  <c:v>476300</c:v>
                </c:pt>
              </c:numCache>
            </c:numRef>
          </c:val>
          <c:extLst>
            <c:ext xmlns:c16="http://schemas.microsoft.com/office/drawing/2014/chart" uri="{C3380CC4-5D6E-409C-BE32-E72D297353CC}">
              <c16:uniqueId val="{00000000-7E41-42AE-AC2E-B981CB3EF7BC}"/>
            </c:ext>
          </c:extLst>
        </c:ser>
        <c:dLbls>
          <c:showLegendKey val="0"/>
          <c:showVal val="0"/>
          <c:showCatName val="0"/>
          <c:showSerName val="0"/>
          <c:showPercent val="0"/>
          <c:showBubbleSize val="0"/>
        </c:dLbls>
        <c:gapWidth val="150"/>
        <c:shape val="box"/>
        <c:axId val="2086661728"/>
        <c:axId val="2086656448"/>
        <c:axId val="0"/>
      </c:bar3DChart>
      <c:catAx>
        <c:axId val="208666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656448"/>
        <c:crosses val="autoZero"/>
        <c:auto val="1"/>
        <c:lblAlgn val="ctr"/>
        <c:lblOffset val="100"/>
        <c:noMultiLvlLbl val="0"/>
      </c:catAx>
      <c:valAx>
        <c:axId val="208665644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6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[PivotTable_Practice_Data_with_Tasks.xlsx]Sheet5!PivotTable18</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Sheet5!$B$6</c:f>
              <c:strCache>
                <c:ptCount val="1"/>
                <c:pt idx="0">
                  <c:v>Total</c:v>
                </c:pt>
              </c:strCache>
            </c:strRef>
          </c:tx>
          <c:spPr>
            <a:solidFill>
              <a:schemeClr val="accent2"/>
            </a:solidFill>
            <a:ln>
              <a:noFill/>
            </a:ln>
            <a:effectLst/>
            <a:sp3d/>
          </c:spPr>
          <c:invertIfNegative val="0"/>
          <c:cat>
            <c:strRef>
              <c:f>Sheet5!$A$7:$A$11</c:f>
              <c:strCache>
                <c:ptCount val="4"/>
                <c:pt idx="0">
                  <c:v>East</c:v>
                </c:pt>
                <c:pt idx="1">
                  <c:v>North</c:v>
                </c:pt>
                <c:pt idx="2">
                  <c:v>South</c:v>
                </c:pt>
                <c:pt idx="3">
                  <c:v>West</c:v>
                </c:pt>
              </c:strCache>
            </c:strRef>
          </c:cat>
          <c:val>
            <c:numRef>
              <c:f>Sheet5!$B$7:$B$11</c:f>
              <c:numCache>
                <c:formatCode>General</c:formatCode>
                <c:ptCount val="4"/>
                <c:pt idx="0">
                  <c:v>411000</c:v>
                </c:pt>
                <c:pt idx="1">
                  <c:v>917000</c:v>
                </c:pt>
                <c:pt idx="2">
                  <c:v>689500</c:v>
                </c:pt>
                <c:pt idx="3">
                  <c:v>476300</c:v>
                </c:pt>
              </c:numCache>
            </c:numRef>
          </c:val>
          <c:extLst>
            <c:ext xmlns:c16="http://schemas.microsoft.com/office/drawing/2014/chart" uri="{C3380CC4-5D6E-409C-BE32-E72D297353CC}">
              <c16:uniqueId val="{00000000-54B0-49F0-80EA-3197BAF8EBD0}"/>
            </c:ext>
          </c:extLst>
        </c:ser>
        <c:dLbls>
          <c:showLegendKey val="0"/>
          <c:showVal val="0"/>
          <c:showCatName val="0"/>
          <c:showSerName val="0"/>
          <c:showPercent val="0"/>
          <c:showBubbleSize val="0"/>
        </c:dLbls>
        <c:gapWidth val="150"/>
        <c:shape val="box"/>
        <c:axId val="2086661728"/>
        <c:axId val="2086656448"/>
        <c:axId val="0"/>
      </c:bar3DChart>
      <c:catAx>
        <c:axId val="2086661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56448"/>
        <c:crosses val="autoZero"/>
        <c:auto val="1"/>
        <c:lblAlgn val="ctr"/>
        <c:lblOffset val="100"/>
        <c:noMultiLvlLbl val="0"/>
      </c:catAx>
      <c:valAx>
        <c:axId val="208665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6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[PivotTable_Practice_Data_with_Tasks.xlsx]Sheet4!PivotTable9</c:name>
    <c:fmtId val="1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33333333333334E-2"/>
          <c:y val="0.27254410906969961"/>
          <c:w val="0.7368055555555556"/>
          <c:h val="0.54792104111986006"/>
        </c:manualLayout>
      </c:layout>
      <c:doughnutChart>
        <c:varyColors val="1"/>
        <c:ser>
          <c:idx val="0"/>
          <c:order val="0"/>
          <c:tx>
            <c:strRef>
              <c:f>Sheet4!$B$5:$B$6</c:f>
              <c:strCache>
                <c:ptCount val="1"/>
                <c:pt idx="0">
                  <c:v>Card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5BF-4C37-9AB5-6D7AEA60B24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5BF-4C37-9AB5-6D7AEA60B24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5BF-4C37-9AB5-6D7AEA60B24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5BF-4C37-9AB5-6D7AEA60B2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Sheet4!$A$7:$A$11</c:f>
              <c:strCache>
                <c:ptCount val="4"/>
                <c:pt idx="0">
                  <c:v>East</c:v>
                </c:pt>
                <c:pt idx="1">
                  <c:v>North</c:v>
                </c:pt>
                <c:pt idx="2">
                  <c:v>South</c:v>
                </c:pt>
                <c:pt idx="3">
                  <c:v>West</c:v>
                </c:pt>
              </c:strCache>
            </c:strRef>
          </c:cat>
          <c:val>
            <c:numRef>
              <c:f>Sheet4!$B$7:$B$11</c:f>
              <c:numCache>
                <c:formatCode>General</c:formatCode>
                <c:ptCount val="4"/>
                <c:pt idx="0">
                  <c:v>2</c:v>
                </c:pt>
                <c:pt idx="1">
                  <c:v>1</c:v>
                </c:pt>
                <c:pt idx="2">
                  <c:v>1</c:v>
                </c:pt>
                <c:pt idx="3">
                  <c:v>2</c:v>
                </c:pt>
              </c:numCache>
            </c:numRef>
          </c:val>
          <c:extLst>
            <c:ext xmlns:c16="http://schemas.microsoft.com/office/drawing/2014/chart" uri="{C3380CC4-5D6E-409C-BE32-E72D297353CC}">
              <c16:uniqueId val="{00000008-45BF-4C37-9AB5-6D7AEA60B24F}"/>
            </c:ext>
          </c:extLst>
        </c:ser>
        <c:ser>
          <c:idx val="1"/>
          <c:order val="1"/>
          <c:tx>
            <c:strRef>
              <c:f>Sheet4!$C$5:$C$6</c:f>
              <c:strCache>
                <c:ptCount val="1"/>
                <c:pt idx="0">
                  <c:v>Cash</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Sheet4!$A$7:$A$11</c:f>
              <c:strCache>
                <c:ptCount val="4"/>
                <c:pt idx="0">
                  <c:v>East</c:v>
                </c:pt>
                <c:pt idx="1">
                  <c:v>North</c:v>
                </c:pt>
                <c:pt idx="2">
                  <c:v>South</c:v>
                </c:pt>
                <c:pt idx="3">
                  <c:v>West</c:v>
                </c:pt>
              </c:strCache>
            </c:strRef>
          </c:cat>
          <c:val>
            <c:numRef>
              <c:f>Sheet4!$C$7:$C$11</c:f>
              <c:numCache>
                <c:formatCode>General</c:formatCode>
                <c:ptCount val="4"/>
                <c:pt idx="0">
                  <c:v>1</c:v>
                </c:pt>
                <c:pt idx="1">
                  <c:v>2</c:v>
                </c:pt>
                <c:pt idx="2">
                  <c:v>2</c:v>
                </c:pt>
                <c:pt idx="3">
                  <c:v>2</c:v>
                </c:pt>
              </c:numCache>
            </c:numRef>
          </c:val>
          <c:extLst>
            <c:ext xmlns:c16="http://schemas.microsoft.com/office/drawing/2014/chart" uri="{C3380CC4-5D6E-409C-BE32-E72D297353CC}">
              <c16:uniqueId val="{00000019-8FE3-414F-A88E-6509A126B7AB}"/>
            </c:ext>
          </c:extLst>
        </c:ser>
        <c:ser>
          <c:idx val="2"/>
          <c:order val="2"/>
          <c:tx>
            <c:strRef>
              <c:f>Sheet4!$D$5:$D$6</c:f>
              <c:strCache>
                <c:ptCount val="1"/>
                <c:pt idx="0">
                  <c:v>UPI</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Sheet4!$A$7:$A$11</c:f>
              <c:strCache>
                <c:ptCount val="4"/>
                <c:pt idx="0">
                  <c:v>East</c:v>
                </c:pt>
                <c:pt idx="1">
                  <c:v>North</c:v>
                </c:pt>
                <c:pt idx="2">
                  <c:v>South</c:v>
                </c:pt>
                <c:pt idx="3">
                  <c:v>West</c:v>
                </c:pt>
              </c:strCache>
            </c:strRef>
          </c:cat>
          <c:val>
            <c:numRef>
              <c:f>Sheet4!$D$7:$D$11</c:f>
              <c:numCache>
                <c:formatCode>General</c:formatCode>
                <c:ptCount val="4"/>
                <c:pt idx="0">
                  <c:v>2</c:v>
                </c:pt>
                <c:pt idx="1">
                  <c:v>2</c:v>
                </c:pt>
                <c:pt idx="2">
                  <c:v>2</c:v>
                </c:pt>
                <c:pt idx="3">
                  <c:v>1</c:v>
                </c:pt>
              </c:numCache>
            </c:numRef>
          </c:val>
          <c:extLst>
            <c:ext xmlns:c16="http://schemas.microsoft.com/office/drawing/2014/chart" uri="{C3380CC4-5D6E-409C-BE32-E72D297353CC}">
              <c16:uniqueId val="{0000001A-8FE3-414F-A88E-6509A126B7AB}"/>
            </c:ext>
          </c:extLst>
        </c:ser>
        <c:dLbls>
          <c:showLegendKey val="0"/>
          <c:showVal val="0"/>
          <c:showCatName val="1"/>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[PivotTable_Practice_Data_with_Tasks.xlsx]Sheet5!PivotTable18</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Sheet5!$B$6</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Sheet5!$A$7:$A$11</c:f>
              <c:strCache>
                <c:ptCount val="4"/>
                <c:pt idx="0">
                  <c:v>East</c:v>
                </c:pt>
                <c:pt idx="1">
                  <c:v>North</c:v>
                </c:pt>
                <c:pt idx="2">
                  <c:v>South</c:v>
                </c:pt>
                <c:pt idx="3">
                  <c:v>West</c:v>
                </c:pt>
              </c:strCache>
            </c:strRef>
          </c:cat>
          <c:val>
            <c:numRef>
              <c:f>Sheet5!$B$7:$B$11</c:f>
              <c:numCache>
                <c:formatCode>General</c:formatCode>
                <c:ptCount val="4"/>
                <c:pt idx="0">
                  <c:v>411000</c:v>
                </c:pt>
                <c:pt idx="1">
                  <c:v>917000</c:v>
                </c:pt>
                <c:pt idx="2">
                  <c:v>689500</c:v>
                </c:pt>
                <c:pt idx="3">
                  <c:v>476300</c:v>
                </c:pt>
              </c:numCache>
            </c:numRef>
          </c:val>
          <c:extLst>
            <c:ext xmlns:c16="http://schemas.microsoft.com/office/drawing/2014/chart" uri="{C3380CC4-5D6E-409C-BE32-E72D297353CC}">
              <c16:uniqueId val="{00000000-9B65-41AA-9FC7-B1C724903F9B}"/>
            </c:ext>
          </c:extLst>
        </c:ser>
        <c:dLbls>
          <c:showLegendKey val="0"/>
          <c:showVal val="0"/>
          <c:showCatName val="0"/>
          <c:showSerName val="0"/>
          <c:showPercent val="0"/>
          <c:showBubbleSize val="0"/>
        </c:dLbls>
        <c:gapWidth val="150"/>
        <c:shape val="box"/>
        <c:axId val="2086661728"/>
        <c:axId val="2086656448"/>
        <c:axId val="0"/>
      </c:bar3DChart>
      <c:catAx>
        <c:axId val="208666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656448"/>
        <c:crosses val="autoZero"/>
        <c:auto val="1"/>
        <c:lblAlgn val="ctr"/>
        <c:lblOffset val="100"/>
        <c:noMultiLvlLbl val="0"/>
      </c:catAx>
      <c:valAx>
        <c:axId val="2086656448"/>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66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508000</xdr:colOff>
      <xdr:row>2</xdr:row>
      <xdr:rowOff>50801</xdr:rowOff>
    </xdr:from>
    <xdr:to>
      <xdr:col>8</xdr:col>
      <xdr:colOff>685800</xdr:colOff>
      <xdr:row>11</xdr:row>
      <xdr:rowOff>25400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985A48D-129D-893D-D37D-77F0339ABC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89500" y="419101"/>
              <a:ext cx="1828800" cy="168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158750</xdr:colOff>
      <xdr:row>1</xdr:row>
      <xdr:rowOff>165101</xdr:rowOff>
    </xdr:from>
    <xdr:to>
      <xdr:col>13</xdr:col>
      <xdr:colOff>82550</xdr:colOff>
      <xdr:row>10</xdr:row>
      <xdr:rowOff>12701</xdr:rowOff>
    </xdr:to>
    <mc:AlternateContent xmlns:mc="http://schemas.openxmlformats.org/markup-compatibility/2006" xmlns:a14="http://schemas.microsoft.com/office/drawing/2010/main">
      <mc:Choice Requires="a14">
        <xdr:graphicFrame macro="">
          <xdr:nvGraphicFramePr>
            <xdr:cNvPr id="5" name="Payment Mode">
              <a:extLst>
                <a:ext uri="{FF2B5EF4-FFF2-40B4-BE49-F238E27FC236}">
                  <a16:creationId xmlns:a16="http://schemas.microsoft.com/office/drawing/2014/main" id="{4357033C-C5AA-55E1-137E-E71331742524}"/>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6940550" y="349251"/>
              <a:ext cx="1828800" cy="155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xdr:colOff>
      <xdr:row>20</xdr:row>
      <xdr:rowOff>82550</xdr:rowOff>
    </xdr:from>
    <xdr:to>
      <xdr:col>8</xdr:col>
      <xdr:colOff>266700</xdr:colOff>
      <xdr:row>27</xdr:row>
      <xdr:rowOff>165100</xdr:rowOff>
    </xdr:to>
    <mc:AlternateContent xmlns:mc="http://schemas.openxmlformats.org/markup-compatibility/2006" xmlns:tsle="http://schemas.microsoft.com/office/drawing/2012/timeslicer">
      <mc:Choice Requires="tsle">
        <xdr:graphicFrame macro="">
          <xdr:nvGraphicFramePr>
            <xdr:cNvPr id="2" name="Date 2">
              <a:extLst>
                <a:ext uri="{FF2B5EF4-FFF2-40B4-BE49-F238E27FC236}">
                  <a16:creationId xmlns:a16="http://schemas.microsoft.com/office/drawing/2014/main" id="{15ACF3BD-57FE-6B26-A144-9D358DD62F0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965450" y="38671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231775</xdr:colOff>
      <xdr:row>3</xdr:row>
      <xdr:rowOff>6350</xdr:rowOff>
    </xdr:from>
    <xdr:to>
      <xdr:col>20</xdr:col>
      <xdr:colOff>730250</xdr:colOff>
      <xdr:row>16</xdr:row>
      <xdr:rowOff>95250</xdr:rowOff>
    </xdr:to>
    <xdr:graphicFrame macro="">
      <xdr:nvGraphicFramePr>
        <xdr:cNvPr id="3" name="Chart 2">
          <a:extLst>
            <a:ext uri="{FF2B5EF4-FFF2-40B4-BE49-F238E27FC236}">
              <a16:creationId xmlns:a16="http://schemas.microsoft.com/office/drawing/2014/main" id="{A2FD3CE5-75BD-092A-86F7-7B7F73B02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196850</xdr:colOff>
      <xdr:row>5</xdr:row>
      <xdr:rowOff>25400</xdr:rowOff>
    </xdr:from>
    <xdr:to>
      <xdr:col>11</xdr:col>
      <xdr:colOff>215900</xdr:colOff>
      <xdr:row>18</xdr:row>
      <xdr:rowOff>177800</xdr:rowOff>
    </xdr:to>
    <xdr:graphicFrame macro="">
      <xdr:nvGraphicFramePr>
        <xdr:cNvPr id="3" name="Chart 2">
          <a:extLst>
            <a:ext uri="{FF2B5EF4-FFF2-40B4-BE49-F238E27FC236}">
              <a16:creationId xmlns:a16="http://schemas.microsoft.com/office/drawing/2014/main" id="{2E55A0F3-5538-BA1A-5D07-20BC1E490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190500</xdr:colOff>
      <xdr:row>27</xdr:row>
      <xdr:rowOff>82550</xdr:rowOff>
    </xdr:from>
    <xdr:to>
      <xdr:col>8</xdr:col>
      <xdr:colOff>603250</xdr:colOff>
      <xdr:row>34</xdr:row>
      <xdr:rowOff>165100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71B5A4C6-1046-388B-14D0-71F1F7BE7F7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667000" y="51054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0</xdr:colOff>
      <xdr:row>82</xdr:row>
      <xdr:rowOff>0</xdr:rowOff>
    </xdr:from>
    <xdr:to>
      <xdr:col>7</xdr:col>
      <xdr:colOff>501650</xdr:colOff>
      <xdr:row>95</xdr:row>
      <xdr:rowOff>152400</xdr:rowOff>
    </xdr:to>
    <xdr:graphicFrame macro="">
      <xdr:nvGraphicFramePr>
        <xdr:cNvPr id="8" name="Chart 7">
          <a:extLst>
            <a:ext uri="{FF2B5EF4-FFF2-40B4-BE49-F238E27FC236}">
              <a16:creationId xmlns:a16="http://schemas.microsoft.com/office/drawing/2014/main" id="{D32F6A9D-07E3-4048-A9C3-ABC0A5749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552450</xdr:colOff>
      <xdr:row>0</xdr:row>
      <xdr:rowOff>19050</xdr:rowOff>
    </xdr:from>
    <xdr:to>
      <xdr:col>13</xdr:col>
      <xdr:colOff>476250</xdr:colOff>
      <xdr:row>30</xdr:row>
      <xdr:rowOff>120650</xdr:rowOff>
    </xdr:to>
    <xdr:graphicFrame macro="">
      <xdr:nvGraphicFramePr>
        <xdr:cNvPr id="2" name="Chart 1">
          <a:extLst>
            <a:ext uri="{FF2B5EF4-FFF2-40B4-BE49-F238E27FC236}">
              <a16:creationId xmlns:a16="http://schemas.microsoft.com/office/drawing/2014/main" id="{C574DD69-3C4B-4271-9638-6D55A258B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xdr:colOff>
      <xdr:row>0</xdr:row>
      <xdr:rowOff>0</xdr:rowOff>
    </xdr:from>
    <xdr:to>
      <xdr:col>3</xdr:col>
      <xdr:colOff>215900</xdr:colOff>
      <xdr:row>11</xdr:row>
      <xdr:rowOff>127000</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00ABC731-7889-4569-88CE-AC86BFC25A3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750" y="0"/>
              <a:ext cx="201295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234950</xdr:colOff>
      <xdr:row>0</xdr:row>
      <xdr:rowOff>6350</xdr:rowOff>
    </xdr:from>
    <xdr:to>
      <xdr:col>7</xdr:col>
      <xdr:colOff>546100</xdr:colOff>
      <xdr:row>11</xdr:row>
      <xdr:rowOff>152400</xdr:rowOff>
    </xdr:to>
    <mc:AlternateContent xmlns:mc="http://schemas.openxmlformats.org/markup-compatibility/2006" xmlns:a14="http://schemas.microsoft.com/office/drawing/2010/main">
      <mc:Choice Requires="a14">
        <xdr:graphicFrame macro="">
          <xdr:nvGraphicFramePr>
            <xdr:cNvPr id="4" name="Payment Mode 1">
              <a:extLst>
                <a:ext uri="{FF2B5EF4-FFF2-40B4-BE49-F238E27FC236}">
                  <a16:creationId xmlns:a16="http://schemas.microsoft.com/office/drawing/2014/main" id="{A225E06E-74E5-4912-993A-46739D5741B4}"/>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2063750" y="6350"/>
              <a:ext cx="274955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22</xdr:row>
      <xdr:rowOff>107950</xdr:rowOff>
    </xdr:from>
    <xdr:to>
      <xdr:col>7</xdr:col>
      <xdr:colOff>539750</xdr:colOff>
      <xdr:row>30</xdr:row>
      <xdr:rowOff>158750</xdr:rowOff>
    </xdr:to>
    <mc:AlternateContent xmlns:mc="http://schemas.openxmlformats.org/markup-compatibility/2006" xmlns:tsle="http://schemas.microsoft.com/office/drawing/2012/timeslicer">
      <mc:Choice Requires="tsle">
        <xdr:graphicFrame macro="">
          <xdr:nvGraphicFramePr>
            <xdr:cNvPr id="5" name="Date 3">
              <a:extLst>
                <a:ext uri="{FF2B5EF4-FFF2-40B4-BE49-F238E27FC236}">
                  <a16:creationId xmlns:a16="http://schemas.microsoft.com/office/drawing/2014/main" id="{C4243180-4F57-4231-B8CC-F3A6DB4506F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6350" y="4159250"/>
              <a:ext cx="4800600" cy="1524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488950</xdr:colOff>
      <xdr:row>0</xdr:row>
      <xdr:rowOff>6350</xdr:rowOff>
    </xdr:from>
    <xdr:to>
      <xdr:col>20</xdr:col>
      <xdr:colOff>152400</xdr:colOff>
      <xdr:row>30</xdr:row>
      <xdr:rowOff>107950</xdr:rowOff>
    </xdr:to>
    <xdr:graphicFrame macro="">
      <xdr:nvGraphicFramePr>
        <xdr:cNvPr id="6" name="Chart 5">
          <a:extLst>
            <a:ext uri="{FF2B5EF4-FFF2-40B4-BE49-F238E27FC236}">
              <a16:creationId xmlns:a16="http://schemas.microsoft.com/office/drawing/2014/main" id="{0FA58383-5417-4E5F-9BA0-5866686A6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12700</xdr:colOff>
      <xdr:row>11</xdr:row>
      <xdr:rowOff>139700</xdr:rowOff>
    </xdr:from>
    <xdr:to>
      <xdr:col>7</xdr:col>
      <xdr:colOff>565150</xdr:colOff>
      <xdr:row>22</xdr:row>
      <xdr:rowOff>95249</xdr:rowOff>
    </xdr:to>
    <mc:AlternateContent xmlns:mc="http://schemas.openxmlformats.org/markup-compatibility/2006" xmlns:a14="http://schemas.microsoft.com/office/drawing/2010/main">
      <mc:Choice Requires="a14">
        <xdr:graphicFrame macro="">
          <xdr:nvGraphicFramePr>
            <xdr:cNvPr id="7" name="Salesperson 1">
              <a:extLst>
                <a:ext uri="{FF2B5EF4-FFF2-40B4-BE49-F238E27FC236}">
                  <a16:creationId xmlns:a16="http://schemas.microsoft.com/office/drawing/2014/main" id="{062261E7-AA2F-453C-BD8C-CD86BB2FBCF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2700" y="2165350"/>
              <a:ext cx="4819650" cy="1981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ns" refreshedDate="45957.776465740739" createdVersion="8" refreshedVersion="8" minRefreshableVersion="3" recordCount="20" xr:uid="{3F7D8CE4-0339-4ADC-A6BB-7AD7ECD9577C}">
  <cacheSource type="worksheet">
    <worksheetSource ref="A1:L21" sheet="Sheet1"/>
  </cacheSource>
  <cacheFields count="14">
    <cacheField name="Order ID" numFmtId="0">
      <sharedItems count="20">
        <s v="ORD001"/>
        <s v="ORD002"/>
        <s v="ORD003"/>
        <s v="ORD004"/>
        <s v="ORD005"/>
        <s v="ORD006"/>
        <s v="ORD007"/>
        <s v="ORD008"/>
        <s v="ORD009"/>
        <s v="ORD010"/>
        <s v="ORD011"/>
        <s v="ORD012"/>
        <s v="ORD013"/>
        <s v="ORD014"/>
        <s v="ORD015"/>
        <s v="ORD016"/>
        <s v="ORD017"/>
        <s v="ORD018"/>
        <s v="ORD019"/>
        <s v="ORD020"/>
      </sharedItems>
    </cacheField>
    <cacheField name="Date" numFmtId="164">
      <sharedItems containsSemiMixedTypes="0" containsNonDate="0" containsDate="1" containsString="0" minDate="2025-01-02T00:00:00" maxDate="2025-02-19T00:00:00" count="20">
        <d v="2025-01-02T00:00:00"/>
        <d v="2025-01-04T00:00:00"/>
        <d v="2025-01-05T00:00:00"/>
        <d v="2025-01-08T00:00:00"/>
        <d v="2025-01-10T00:00:00"/>
        <d v="2025-01-12T00:00:00"/>
        <d v="2025-01-15T00:00:00"/>
        <d v="2025-01-18T00:00:00"/>
        <d v="2025-01-20T00:00:00"/>
        <d v="2025-01-22T00:00:00"/>
        <d v="2025-01-25T00:00:00"/>
        <d v="2025-01-28T00:00:00"/>
        <d v="2025-01-30T00:00:00"/>
        <d v="2025-02-02T00:00:00"/>
        <d v="2025-02-05T00:00:00"/>
        <d v="2025-02-08T00:00:00"/>
        <d v="2025-02-10T00:00:00"/>
        <d v="2025-02-13T00:00:00"/>
        <d v="2025-02-15T00:00:00"/>
        <d v="2025-02-18T00:00:00"/>
      </sharedItems>
    </cacheField>
    <cacheField name="Region" numFmtId="0">
      <sharedItems count="4">
        <s v="North"/>
        <s v="West"/>
        <s v="East"/>
        <s v="South"/>
      </sharedItems>
    </cacheField>
    <cacheField name="State" numFmtId="0">
      <sharedItems count="12">
        <s v="Delhi"/>
        <s v="Mumbai"/>
        <s v="Kolkata"/>
        <s v="Chennai"/>
        <s v="Jaipur"/>
        <s v="Pune"/>
        <s v="Patna"/>
        <s v="Hyderabad"/>
        <s v="Surat"/>
        <s v="Bhubaneswar"/>
        <s v="Kochi"/>
        <s v="Chandigarh"/>
      </sharedItems>
    </cacheField>
    <cacheField name="Salesperson" numFmtId="0">
      <sharedItems count="4">
        <s v="Asha"/>
        <s v="Rohit"/>
        <s v="Komal"/>
        <s v="Neha"/>
      </sharedItems>
    </cacheField>
    <cacheField name="Product" numFmtId="0">
      <sharedItems count="7">
        <s v="Laptop"/>
        <s v="Mobile"/>
        <s v="Printer"/>
        <s v="Tablet"/>
        <s v="Mouse"/>
        <s v="Keyboard"/>
        <s v="Headphones"/>
      </sharedItems>
    </cacheField>
    <cacheField name="Category" numFmtId="0">
      <sharedItems count="3">
        <s v="Electronics"/>
        <s v="Office"/>
        <s v="Accessories"/>
      </sharedItems>
    </cacheField>
    <cacheField name="Units Sold" numFmtId="0">
      <sharedItems containsSemiMixedTypes="0" containsString="0" containsNumber="1" containsInteger="1" minValue="3" maxValue="20"/>
    </cacheField>
    <cacheField name="Unit Price" numFmtId="0">
      <sharedItems containsSemiMixedTypes="0" containsString="0" containsNumber="1" containsInteger="1" minValue="750" maxValue="56000"/>
    </cacheField>
    <cacheField name="Revenue" numFmtId="0">
      <sharedItems containsSemiMixedTypes="0" containsString="0" containsNumber="1" containsInteger="1" minValue="8800" maxValue="318000"/>
    </cacheField>
    <cacheField name="Discount" numFmtId="0">
      <sharedItems containsSemiMixedTypes="0" containsString="0" containsNumber="1" minValue="0" maxValue="0.1"/>
    </cacheField>
    <cacheField name="Payment Mode" numFmtId="0">
      <sharedItems count="3">
        <s v="UPI"/>
        <s v="Card"/>
        <s v="Cash"/>
      </sharedItems>
    </cacheField>
    <cacheField name="Field1" numFmtId="0" formula="Revenue*(1-Discount)" databaseField="0"/>
    <cacheField name="Field2" numFmtId="0" formula="Revenue*(1-Discount)" databaseField="0"/>
  </cacheFields>
  <extLst>
    <ext xmlns:x14="http://schemas.microsoft.com/office/spreadsheetml/2009/9/main" uri="{725AE2AE-9491-48be-B2B4-4EB974FC3084}">
      <x14:pivotCacheDefinition pivotCacheId="1347269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x v="0"/>
    <x v="0"/>
    <n v="5"/>
    <n v="55000"/>
    <n v="275000"/>
    <n v="0.05"/>
    <x v="0"/>
  </r>
  <r>
    <x v="1"/>
    <x v="1"/>
    <x v="1"/>
    <x v="1"/>
    <x v="1"/>
    <x v="1"/>
    <x v="0"/>
    <n v="10"/>
    <n v="18000"/>
    <n v="180000"/>
    <n v="0.1"/>
    <x v="1"/>
  </r>
  <r>
    <x v="2"/>
    <x v="2"/>
    <x v="2"/>
    <x v="2"/>
    <x v="2"/>
    <x v="2"/>
    <x v="1"/>
    <n v="4"/>
    <n v="12000"/>
    <n v="48000"/>
    <n v="0"/>
    <x v="2"/>
  </r>
  <r>
    <x v="3"/>
    <x v="3"/>
    <x v="3"/>
    <x v="3"/>
    <x v="3"/>
    <x v="0"/>
    <x v="0"/>
    <n v="6"/>
    <n v="53000"/>
    <n v="318000"/>
    <n v="0.08"/>
    <x v="0"/>
  </r>
  <r>
    <x v="4"/>
    <x v="4"/>
    <x v="0"/>
    <x v="4"/>
    <x v="0"/>
    <x v="3"/>
    <x v="0"/>
    <n v="8"/>
    <n v="25000"/>
    <n v="200000"/>
    <n v="0.05"/>
    <x v="1"/>
  </r>
  <r>
    <x v="5"/>
    <x v="5"/>
    <x v="1"/>
    <x v="5"/>
    <x v="1"/>
    <x v="4"/>
    <x v="2"/>
    <n v="15"/>
    <n v="800"/>
    <n v="12000"/>
    <n v="0"/>
    <x v="2"/>
  </r>
  <r>
    <x v="6"/>
    <x v="6"/>
    <x v="2"/>
    <x v="6"/>
    <x v="2"/>
    <x v="0"/>
    <x v="0"/>
    <n v="3"/>
    <n v="52000"/>
    <n v="156000"/>
    <n v="0.1"/>
    <x v="0"/>
  </r>
  <r>
    <x v="7"/>
    <x v="7"/>
    <x v="3"/>
    <x v="7"/>
    <x v="3"/>
    <x v="5"/>
    <x v="2"/>
    <n v="10"/>
    <n v="1200"/>
    <n v="12000"/>
    <n v="0"/>
    <x v="1"/>
  </r>
  <r>
    <x v="8"/>
    <x v="8"/>
    <x v="0"/>
    <x v="0"/>
    <x v="0"/>
    <x v="6"/>
    <x v="2"/>
    <n v="12"/>
    <n v="1500"/>
    <n v="18000"/>
    <n v="0.05"/>
    <x v="2"/>
  </r>
  <r>
    <x v="9"/>
    <x v="9"/>
    <x v="1"/>
    <x v="8"/>
    <x v="1"/>
    <x v="2"/>
    <x v="1"/>
    <n v="5"/>
    <n v="11000"/>
    <n v="55000"/>
    <n v="0"/>
    <x v="0"/>
  </r>
  <r>
    <x v="10"/>
    <x v="10"/>
    <x v="2"/>
    <x v="9"/>
    <x v="2"/>
    <x v="1"/>
    <x v="0"/>
    <n v="9"/>
    <n v="17500"/>
    <n v="157500"/>
    <n v="0.1"/>
    <x v="1"/>
  </r>
  <r>
    <x v="11"/>
    <x v="11"/>
    <x v="3"/>
    <x v="10"/>
    <x v="3"/>
    <x v="0"/>
    <x v="0"/>
    <n v="4"/>
    <n v="54000"/>
    <n v="216000"/>
    <n v="0.05"/>
    <x v="2"/>
  </r>
  <r>
    <x v="12"/>
    <x v="12"/>
    <x v="0"/>
    <x v="11"/>
    <x v="0"/>
    <x v="3"/>
    <x v="0"/>
    <n v="6"/>
    <n v="24000"/>
    <n v="144000"/>
    <n v="0.05"/>
    <x v="0"/>
  </r>
  <r>
    <x v="13"/>
    <x v="13"/>
    <x v="1"/>
    <x v="1"/>
    <x v="1"/>
    <x v="5"/>
    <x v="2"/>
    <n v="8"/>
    <n v="1100"/>
    <n v="8800"/>
    <n v="0"/>
    <x v="2"/>
  </r>
  <r>
    <x v="14"/>
    <x v="14"/>
    <x v="2"/>
    <x v="2"/>
    <x v="2"/>
    <x v="4"/>
    <x v="2"/>
    <n v="20"/>
    <n v="750"/>
    <n v="15000"/>
    <n v="0"/>
    <x v="1"/>
  </r>
  <r>
    <x v="15"/>
    <x v="15"/>
    <x v="3"/>
    <x v="3"/>
    <x v="3"/>
    <x v="1"/>
    <x v="0"/>
    <n v="7"/>
    <n v="18500"/>
    <n v="129500"/>
    <n v="0.1"/>
    <x v="0"/>
  </r>
  <r>
    <x v="16"/>
    <x v="16"/>
    <x v="0"/>
    <x v="0"/>
    <x v="0"/>
    <x v="0"/>
    <x v="0"/>
    <n v="5"/>
    <n v="56000"/>
    <n v="280000"/>
    <n v="0.05"/>
    <x v="2"/>
  </r>
  <r>
    <x v="17"/>
    <x v="17"/>
    <x v="1"/>
    <x v="5"/>
    <x v="1"/>
    <x v="3"/>
    <x v="0"/>
    <n v="9"/>
    <n v="24500"/>
    <n v="220500"/>
    <n v="0.05"/>
    <x v="1"/>
  </r>
  <r>
    <x v="18"/>
    <x v="18"/>
    <x v="2"/>
    <x v="6"/>
    <x v="2"/>
    <x v="2"/>
    <x v="1"/>
    <n v="3"/>
    <n v="11500"/>
    <n v="34500"/>
    <n v="0"/>
    <x v="0"/>
  </r>
  <r>
    <x v="19"/>
    <x v="19"/>
    <x v="3"/>
    <x v="7"/>
    <x v="3"/>
    <x v="6"/>
    <x v="2"/>
    <n v="10"/>
    <n v="1400"/>
    <n v="1400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95C662-32F7-494A-AE8E-8822A64030C3}" name="PivotTable3"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9:B33" firstHeaderRow="1" firstDataRow="1" firstDataCol="1"/>
  <pivotFields count="14">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1"/>
  </rowFields>
  <rowItems count="14">
    <i>
      <x/>
    </i>
    <i>
      <x v="1"/>
    </i>
    <i>
      <x v="2"/>
    </i>
    <i>
      <x v="3"/>
    </i>
    <i>
      <x v="4"/>
    </i>
    <i>
      <x v="5"/>
    </i>
    <i>
      <x v="6"/>
    </i>
    <i>
      <x v="7"/>
    </i>
    <i>
      <x v="8"/>
    </i>
    <i>
      <x v="9"/>
    </i>
    <i>
      <x v="10"/>
    </i>
    <i>
      <x v="11"/>
    </i>
    <i>
      <x v="12"/>
    </i>
    <i t="grand">
      <x/>
    </i>
  </rowItems>
  <colItems count="1">
    <i/>
  </colItems>
  <dataFields count="1">
    <dataField name="Sum of Revenue" fld="9" baseField="0" baseItem="0"/>
  </dataFields>
  <pivotTableStyleInfo name="PivotStyleLight16" showRowHeaders="1" showColHeaders="1" showRowStripes="0" showColStripes="0" showLastColumn="1"/>
  <filters count="1">
    <filter fld="1" type="dateBetween" evalOrder="-1" id="10"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04E539-C342-4CC9-9FE5-907F909042FF}" name="PivotTable9"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5:E11" firstHeaderRow="1" firstDataRow="2" firstDataCol="1"/>
  <pivotFields count="14">
    <pivotField showAll="0"/>
    <pivotField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3"/>
        <item x="1"/>
        <item t="default"/>
      </items>
    </pivotField>
    <pivotField showAll="0"/>
    <pivotField showAll="0">
      <items count="5">
        <item x="0"/>
        <item x="2"/>
        <item x="3"/>
        <item x="1"/>
        <item t="default"/>
      </items>
    </pivotField>
    <pivotField showAll="0"/>
    <pivotField showAll="0"/>
    <pivotField showAll="0"/>
    <pivotField showAll="0"/>
    <pivotField showAll="0"/>
    <pivotField showAll="0"/>
    <pivotField axis="axisCol" dataField="1" showAll="0">
      <items count="4">
        <item x="1"/>
        <item x="2"/>
        <item x="0"/>
        <item t="default"/>
      </items>
    </pivotField>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11"/>
  </colFields>
  <colItems count="4">
    <i>
      <x/>
    </i>
    <i>
      <x v="1"/>
    </i>
    <i>
      <x v="2"/>
    </i>
    <i t="grand">
      <x/>
    </i>
  </colItems>
  <dataFields count="1">
    <dataField name="Count of Payment Mode" fld="11" subtotal="count" baseField="2" baseItem="1"/>
  </dataFields>
  <chartFormats count="3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10" format="18" series="1">
      <pivotArea type="data" outline="0" fieldPosition="0">
        <references count="2">
          <reference field="4294967294" count="1" selected="0">
            <x v="0"/>
          </reference>
          <reference field="11" count="1" selected="0">
            <x v="0"/>
          </reference>
        </references>
      </pivotArea>
    </chartFormat>
    <chartFormat chart="10" format="19">
      <pivotArea type="data" outline="0" fieldPosition="0">
        <references count="3">
          <reference field="4294967294" count="1" selected="0">
            <x v="0"/>
          </reference>
          <reference field="2" count="1" selected="0">
            <x v="0"/>
          </reference>
          <reference field="11" count="1" selected="0">
            <x v="0"/>
          </reference>
        </references>
      </pivotArea>
    </chartFormat>
    <chartFormat chart="10" format="20">
      <pivotArea type="data" outline="0" fieldPosition="0">
        <references count="3">
          <reference field="4294967294" count="1" selected="0">
            <x v="0"/>
          </reference>
          <reference field="2" count="1" selected="0">
            <x v="1"/>
          </reference>
          <reference field="11" count="1" selected="0">
            <x v="0"/>
          </reference>
        </references>
      </pivotArea>
    </chartFormat>
    <chartFormat chart="10" format="21">
      <pivotArea type="data" outline="0" fieldPosition="0">
        <references count="3">
          <reference field="4294967294" count="1" selected="0">
            <x v="0"/>
          </reference>
          <reference field="2" count="1" selected="0">
            <x v="2"/>
          </reference>
          <reference field="11" count="1" selected="0">
            <x v="0"/>
          </reference>
        </references>
      </pivotArea>
    </chartFormat>
    <chartFormat chart="10" format="22">
      <pivotArea type="data" outline="0" fieldPosition="0">
        <references count="3">
          <reference field="4294967294" count="1" selected="0">
            <x v="0"/>
          </reference>
          <reference field="2" count="1" selected="0">
            <x v="3"/>
          </reference>
          <reference field="11" count="1" selected="0">
            <x v="0"/>
          </reference>
        </references>
      </pivotArea>
    </chartFormat>
    <chartFormat chart="10" format="23" series="1">
      <pivotArea type="data" outline="0" fieldPosition="0">
        <references count="2">
          <reference field="4294967294" count="1" selected="0">
            <x v="0"/>
          </reference>
          <reference field="11" count="1" selected="0">
            <x v="1"/>
          </reference>
        </references>
      </pivotArea>
    </chartFormat>
    <chartFormat chart="10" format="24">
      <pivotArea type="data" outline="0" fieldPosition="0">
        <references count="3">
          <reference field="4294967294" count="1" selected="0">
            <x v="0"/>
          </reference>
          <reference field="2" count="1" selected="0">
            <x v="0"/>
          </reference>
          <reference field="11" count="1" selected="0">
            <x v="1"/>
          </reference>
        </references>
      </pivotArea>
    </chartFormat>
    <chartFormat chart="10" format="25">
      <pivotArea type="data" outline="0" fieldPosition="0">
        <references count="3">
          <reference field="4294967294" count="1" selected="0">
            <x v="0"/>
          </reference>
          <reference field="2" count="1" selected="0">
            <x v="1"/>
          </reference>
          <reference field="11" count="1" selected="0">
            <x v="1"/>
          </reference>
        </references>
      </pivotArea>
    </chartFormat>
    <chartFormat chart="10" format="26">
      <pivotArea type="data" outline="0" fieldPosition="0">
        <references count="3">
          <reference field="4294967294" count="1" selected="0">
            <x v="0"/>
          </reference>
          <reference field="2" count="1" selected="0">
            <x v="2"/>
          </reference>
          <reference field="11" count="1" selected="0">
            <x v="1"/>
          </reference>
        </references>
      </pivotArea>
    </chartFormat>
    <chartFormat chart="10" format="27">
      <pivotArea type="data" outline="0" fieldPosition="0">
        <references count="3">
          <reference field="4294967294" count="1" selected="0">
            <x v="0"/>
          </reference>
          <reference field="2" count="1" selected="0">
            <x v="3"/>
          </reference>
          <reference field="11" count="1" selected="0">
            <x v="1"/>
          </reference>
        </references>
      </pivotArea>
    </chartFormat>
    <chartFormat chart="10" format="28" series="1">
      <pivotArea type="data" outline="0" fieldPosition="0">
        <references count="2">
          <reference field="4294967294" count="1" selected="0">
            <x v="0"/>
          </reference>
          <reference field="11" count="1" selected="0">
            <x v="2"/>
          </reference>
        </references>
      </pivotArea>
    </chartFormat>
    <chartFormat chart="10" format="29">
      <pivotArea type="data" outline="0" fieldPosition="0">
        <references count="3">
          <reference field="4294967294" count="1" selected="0">
            <x v="0"/>
          </reference>
          <reference field="2" count="1" selected="0">
            <x v="0"/>
          </reference>
          <reference field="11" count="1" selected="0">
            <x v="2"/>
          </reference>
        </references>
      </pivotArea>
    </chartFormat>
    <chartFormat chart="10" format="30">
      <pivotArea type="data" outline="0" fieldPosition="0">
        <references count="3">
          <reference field="4294967294" count="1" selected="0">
            <x v="0"/>
          </reference>
          <reference field="2" count="1" selected="0">
            <x v="1"/>
          </reference>
          <reference field="11" count="1" selected="0">
            <x v="2"/>
          </reference>
        </references>
      </pivotArea>
    </chartFormat>
    <chartFormat chart="10" format="31">
      <pivotArea type="data" outline="0" fieldPosition="0">
        <references count="3">
          <reference field="4294967294" count="1" selected="0">
            <x v="0"/>
          </reference>
          <reference field="2" count="1" selected="0">
            <x v="2"/>
          </reference>
          <reference field="11" count="1" selected="0">
            <x v="2"/>
          </reference>
        </references>
      </pivotArea>
    </chartFormat>
    <chartFormat chart="10" format="32">
      <pivotArea type="data" outline="0" fieldPosition="0">
        <references count="3">
          <reference field="4294967294" count="1" selected="0">
            <x v="0"/>
          </reference>
          <reference field="2" count="1" selected="0">
            <x v="3"/>
          </reference>
          <reference field="11" count="1" selected="0">
            <x v="2"/>
          </reference>
        </references>
      </pivotArea>
    </chartFormat>
    <chartFormat chart="10" format="33"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3">
          <reference field="4294967294" count="1" selected="0">
            <x v="0"/>
          </reference>
          <reference field="2" count="1" selected="0">
            <x v="1"/>
          </reference>
          <reference field="11" count="1" selected="0">
            <x v="0"/>
          </reference>
        </references>
      </pivotArea>
    </chartFormat>
    <chartFormat chart="0" format="5">
      <pivotArea type="data" outline="0" fieldPosition="0">
        <references count="3">
          <reference field="4294967294" count="1" selected="0">
            <x v="0"/>
          </reference>
          <reference field="2" count="1" selected="0">
            <x v="1"/>
          </reference>
          <reference field="11" count="1" selected="0">
            <x v="1"/>
          </reference>
        </references>
      </pivotArea>
    </chartFormat>
    <chartFormat chart="0" format="6">
      <pivotArea type="data" outline="0" fieldPosition="0">
        <references count="3">
          <reference field="4294967294" count="1" selected="0">
            <x v="0"/>
          </reference>
          <reference field="2" count="1" selected="0">
            <x v="1"/>
          </reference>
          <reference field="11" count="1" selected="0">
            <x v="2"/>
          </reference>
        </references>
      </pivotArea>
    </chartFormat>
    <chartFormat chart="0" format="7">
      <pivotArea type="data" outline="0" fieldPosition="0">
        <references count="3">
          <reference field="4294967294" count="1" selected="0">
            <x v="0"/>
          </reference>
          <reference field="2" count="1" selected="0">
            <x v="0"/>
          </reference>
          <reference field="11" count="1" selected="0">
            <x v="0"/>
          </reference>
        </references>
      </pivotArea>
    </chartFormat>
    <chartFormat chart="0" format="8">
      <pivotArea type="data" outline="0" fieldPosition="0">
        <references count="3">
          <reference field="4294967294" count="1" selected="0">
            <x v="0"/>
          </reference>
          <reference field="2" count="1" selected="0">
            <x v="2"/>
          </reference>
          <reference field="11" count="1" selected="0">
            <x v="0"/>
          </reference>
        </references>
      </pivotArea>
    </chartFormat>
    <chartFormat chart="0" format="9">
      <pivotArea type="data" outline="0" fieldPosition="0">
        <references count="3">
          <reference field="4294967294" count="1" selected="0">
            <x v="0"/>
          </reference>
          <reference field="2" count="1" selected="0">
            <x v="3"/>
          </reference>
          <reference field="11" count="1" selected="0">
            <x v="0"/>
          </reference>
        </references>
      </pivotArea>
    </chartFormat>
    <chartFormat chart="0" format="10">
      <pivotArea type="data" outline="0" fieldPosition="0">
        <references count="3">
          <reference field="4294967294" count="1" selected="0">
            <x v="0"/>
          </reference>
          <reference field="2" count="1" selected="0">
            <x v="0"/>
          </reference>
          <reference field="11" count="1" selected="0">
            <x v="1"/>
          </reference>
        </references>
      </pivotArea>
    </chartFormat>
    <chartFormat chart="0" format="11">
      <pivotArea type="data" outline="0" fieldPosition="0">
        <references count="3">
          <reference field="4294967294" count="1" selected="0">
            <x v="0"/>
          </reference>
          <reference field="2" count="1" selected="0">
            <x v="2"/>
          </reference>
          <reference field="11" count="1" selected="0">
            <x v="1"/>
          </reference>
        </references>
      </pivotArea>
    </chartFormat>
    <chartFormat chart="0" format="12">
      <pivotArea type="data" outline="0" fieldPosition="0">
        <references count="3">
          <reference field="4294967294" count="1" selected="0">
            <x v="0"/>
          </reference>
          <reference field="2" count="1" selected="0">
            <x v="3"/>
          </reference>
          <reference field="11" count="1" selected="0">
            <x v="1"/>
          </reference>
        </references>
      </pivotArea>
    </chartFormat>
    <chartFormat chart="0" format="13">
      <pivotArea type="data" outline="0" fieldPosition="0">
        <references count="3">
          <reference field="4294967294" count="1" selected="0">
            <x v="0"/>
          </reference>
          <reference field="2" count="1" selected="0">
            <x v="0"/>
          </reference>
          <reference field="11" count="1" selected="0">
            <x v="2"/>
          </reference>
        </references>
      </pivotArea>
    </chartFormat>
    <chartFormat chart="0" format="14">
      <pivotArea type="data" outline="0" fieldPosition="0">
        <references count="3">
          <reference field="4294967294" count="1" selected="0">
            <x v="0"/>
          </reference>
          <reference field="2" count="1" selected="0">
            <x v="2"/>
          </reference>
          <reference field="11" count="1" selected="0">
            <x v="2"/>
          </reference>
        </references>
      </pivotArea>
    </chartFormat>
    <chartFormat chart="0" format="15">
      <pivotArea type="data" outline="0" fieldPosition="0">
        <references count="3">
          <reference field="4294967294" count="1" selected="0">
            <x v="0"/>
          </reference>
          <reference field="2" count="1" selected="0">
            <x v="3"/>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7F171-8A64-45AC-AB4F-5E21C0C6BDF5}"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B64" firstHeaderRow="1" firstDataRow="1" firstDataCol="1"/>
  <pivotFields count="14">
    <pivotField showAll="0"/>
    <pivotField numFmtId="164" showAll="0"/>
    <pivotField showAll="0"/>
    <pivotField showAll="0"/>
    <pivotField showAll="0"/>
    <pivotField axis="axisRow" showAll="0" measureFilter="1">
      <items count="8">
        <item x="6"/>
        <item x="5"/>
        <item x="0"/>
        <item x="1"/>
        <item x="4"/>
        <item x="2"/>
        <item x="3"/>
        <item t="default"/>
      </items>
    </pivotField>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5"/>
  </rowFields>
  <rowItems count="4">
    <i>
      <x v="2"/>
    </i>
    <i>
      <x v="3"/>
    </i>
    <i>
      <x v="6"/>
    </i>
    <i t="grand">
      <x/>
    </i>
  </rowItems>
  <colItems count="1">
    <i/>
  </colItems>
  <dataFields count="1">
    <dataField name="Sum of Revenue" fld="9" baseField="0" baseItem="0"/>
  </dataFields>
  <pivotTableStyleInfo name="PivotStyleLight16" showRowHeaders="1" showColHeaders="1" showRowStripes="0" showColStripes="0" showLastColumn="1"/>
  <filters count="1">
    <filter fld="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E9E600-3C12-4B1A-B33E-7A94C79C455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A52" firstHeaderRow="1" firstDataRow="1" firstDataCol="0" rowPageCount="1" colPageCount="1"/>
  <pivotFields count="14">
    <pivotField showAll="0"/>
    <pivotField numFmtId="164" showAll="0"/>
    <pivotField showAll="0"/>
    <pivotField showAll="0"/>
    <pivotField showAll="0"/>
    <pivotField axis="axisPage" showAll="0">
      <items count="8">
        <item x="6"/>
        <item x="5"/>
        <item x="0"/>
        <item x="1"/>
        <item x="4"/>
        <item x="2"/>
        <item x="3"/>
        <item t="default"/>
      </items>
    </pivotField>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Items count="1">
    <i/>
  </rowItems>
  <colItems count="1">
    <i/>
  </colItems>
  <pageFields count="1">
    <pageField fld="5" hier="-1"/>
  </pageFields>
  <dataFields count="1">
    <dataField name="Average of Revenu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7D5836-D3F4-4476-9A68-93AA553BCD9C}"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A42" firstHeaderRow="1" firstDataRow="1" firstDataCol="0"/>
  <pivotFields count="14">
    <pivotField showAll="0"/>
    <pivotField numFmtId="164"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Items count="1">
    <i/>
  </rowItems>
  <colItems count="1">
    <i/>
  </colItems>
  <dataFields count="1">
    <dataField name="Sum of Field2"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8AE097-879C-40FD-9DC8-97FAE06116B4}"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6:B40" firstHeaderRow="1" firstDataRow="1" firstDataCol="1"/>
  <pivotFields count="14">
    <pivotField showAll="0"/>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1"/>
  </rowFields>
  <rowItems count="14">
    <i>
      <x/>
    </i>
    <i>
      <x v="1"/>
    </i>
    <i>
      <x v="2"/>
    </i>
    <i>
      <x v="3"/>
    </i>
    <i>
      <x v="4"/>
    </i>
    <i>
      <x v="5"/>
    </i>
    <i>
      <x v="6"/>
    </i>
    <i>
      <x v="7"/>
    </i>
    <i>
      <x v="8"/>
    </i>
    <i>
      <x v="9"/>
    </i>
    <i>
      <x v="10"/>
    </i>
    <i>
      <x v="11"/>
    </i>
    <i>
      <x v="12"/>
    </i>
    <i t="grand">
      <x/>
    </i>
  </rowItems>
  <colItems count="1">
    <i/>
  </colItems>
  <dataFields count="1">
    <dataField name="Sum of Revenue" fld="9" baseField="0" baseItem="0"/>
  </dataFields>
  <pivotTableStyleInfo name="PivotStyleLight16" showRowHeaders="1" showColHeaders="1" showRowStripes="0" showColStripes="0" showLastColumn="1"/>
  <filters count="1">
    <filter fld="1" type="dateBetween" evalOrder="-1" id="38"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190E1A-CB95-42E0-B72C-7217869BF9E7}" name="PivotTable18"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6:B11" firstHeaderRow="1" firstDataRow="1" firstDataCol="1"/>
  <pivotFields count="14">
    <pivotField showAll="0"/>
    <pivotField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0"/>
        <item x="3"/>
        <item x="1"/>
        <item t="default"/>
      </items>
    </pivotField>
    <pivotField showAll="0"/>
    <pivotField showAll="0">
      <items count="5">
        <item x="0"/>
        <item x="2"/>
        <item x="3"/>
        <item x="1"/>
        <item t="default"/>
      </items>
    </pivotField>
    <pivotField showAll="0"/>
    <pivotField showAll="0"/>
    <pivotField showAll="0"/>
    <pivotField showAll="0"/>
    <pivotField dataField="1" showAll="0"/>
    <pivotField showAll="0"/>
    <pivotField showAll="0">
      <items count="4">
        <item x="1"/>
        <item x="2"/>
        <item x="0"/>
        <item t="default"/>
      </items>
    </pivotField>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F11CEC-EE9C-4781-B87D-93BCD5FE2CB7}" name="PivotTable6"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50:F56" firstHeaderRow="1" firstDataRow="2" firstDataCol="1"/>
  <pivotFields count="14">
    <pivotField showAll="0"/>
    <pivotField numFmtId="164" showAll="0">
      <items count="21">
        <item x="0"/>
        <item x="1"/>
        <item x="2"/>
        <item x="3"/>
        <item x="4"/>
        <item x="5"/>
        <item x="6"/>
        <item x="7"/>
        <item x="8"/>
        <item x="9"/>
        <item x="10"/>
        <item x="11"/>
        <item x="12"/>
        <item x="13"/>
        <item x="14"/>
        <item x="15"/>
        <item x="16"/>
        <item x="17"/>
        <item x="18"/>
        <item x="19"/>
        <item t="default"/>
      </items>
    </pivotField>
    <pivotField axis="axisCol" showAll="0">
      <items count="5">
        <item x="2"/>
        <item x="0"/>
        <item x="3"/>
        <item x="1"/>
        <item t="default"/>
      </items>
    </pivotField>
    <pivotField showAll="0"/>
    <pivotField axis="axisRow" showAll="0">
      <items count="5">
        <item x="0"/>
        <item x="2"/>
        <item x="3"/>
        <item x="1"/>
        <item t="default"/>
      </items>
    </pivotField>
    <pivotField showAll="0">
      <items count="8">
        <item x="6"/>
        <item x="5"/>
        <item x="0"/>
        <item x="1"/>
        <item x="4"/>
        <item x="2"/>
        <item x="3"/>
        <item t="default"/>
      </items>
    </pivotField>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2"/>
  </colFields>
  <colItems count="5">
    <i>
      <x/>
    </i>
    <i>
      <x v="1"/>
    </i>
    <i>
      <x v="2"/>
    </i>
    <i>
      <x v="3"/>
    </i>
    <i t="grand">
      <x/>
    </i>
  </colItems>
  <dataFields count="1">
    <dataField name="Sum of Revenue" fld="9" baseField="0" baseItem="0"/>
  </dataFields>
  <pivotTableStyleInfo name="PivotStyleLight16" showRowHeaders="1" showColHeaders="1" showRowStripes="0" showColStripes="0" showLastColumn="1"/>
  <filters count="1">
    <filter fld="1" type="dateBetween" evalOrder="-1" id="6" name="Date">
      <autoFilter ref="A1">
        <filterColumn colId="0">
          <customFilters and="1">
            <customFilter operator="greaterThanOrEqual" val="45658"/>
            <customFilter operator="lessThanOrEqual" val="4568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FBEC2A-8862-4FFC-89E6-8360CB4E72C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2" firstHeaderRow="1" firstDataRow="1" firstDataCol="1"/>
  <pivotFields count="14">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4"/>
  </rowFields>
  <rowItems count="5">
    <i>
      <x/>
    </i>
    <i>
      <x v="1"/>
    </i>
    <i>
      <x v="2"/>
    </i>
    <i>
      <x v="3"/>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400F7A-4BEC-4C2B-B8E8-8B906E9A069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1" firstHeaderRow="1" firstDataRow="1" firstDataCol="1"/>
  <pivotFields count="14">
    <pivotField showAll="0"/>
    <pivotField showAll="0"/>
    <pivotField showAll="0"/>
    <pivotField showAll="0"/>
    <pivotField showAll="0"/>
    <pivotField showAll="0"/>
    <pivotField axis="axisRow" showAll="0">
      <items count="4">
        <item x="2"/>
        <item x="0"/>
        <item x="1"/>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Average of Unit Pric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1C3FC6-837E-437D-8001-FC9F62E8F08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2" firstHeaderRow="1" firstDataRow="1" firstDataCol="1"/>
  <pivotFields count="14">
    <pivotField showAll="0"/>
    <pivotField showAll="0"/>
    <pivotField showAll="0"/>
    <pivotField showAll="0"/>
    <pivotField showAll="0"/>
    <pivotField axis="axisRow" showAll="0">
      <items count="8">
        <item x="6"/>
        <item x="5"/>
        <item x="0"/>
        <item x="1"/>
        <item x="4"/>
        <item x="2"/>
        <item x="3"/>
        <item t="default"/>
      </items>
    </pivotField>
    <pivotField showAll="0"/>
    <pivotField dataField="1" showAll="0"/>
    <pivotField showAll="0"/>
    <pivotField showAll="0"/>
    <pivotField showAll="0"/>
    <pivotField showAll="0"/>
    <pivotField dragToRow="0" dragToCol="0" dragToPage="0" showAll="0" defaultSubtotal="0"/>
    <pivotField dragToRow="0" dragToCol="0" dragToPage="0" showAll="0" defaultSubtotal="0"/>
  </pivotFields>
  <rowFields count="1">
    <field x="5"/>
  </rowFields>
  <rowItems count="8">
    <i>
      <x/>
    </i>
    <i>
      <x v="1"/>
    </i>
    <i>
      <x v="2"/>
    </i>
    <i>
      <x v="3"/>
    </i>
    <i>
      <x v="4"/>
    </i>
    <i>
      <x v="5"/>
    </i>
    <i>
      <x v="6"/>
    </i>
    <i t="grand">
      <x/>
    </i>
  </rowItems>
  <colItems count="1">
    <i/>
  </colItems>
  <dataFields count="1">
    <dataField name="Sum of Units 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162E97-6A59-4EA5-A83E-04A6E7A0ACA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10" firstHeaderRow="1" firstDataRow="1" firstDataCol="1"/>
  <pivotFields count="14">
    <pivotField showAll="0"/>
    <pivotField showAll="0"/>
    <pivotField axis="axisRow" multipleItemSelectionAllowed="1"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C8C9EF5-DB59-4574-BB24-D3237CA9464F}"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F34" firstHeaderRow="1" firstDataRow="2" firstDataCol="1"/>
  <pivotFields count="14">
    <pivotField showAll="0"/>
    <pivotField showAll="0"/>
    <pivotField axis="axisCol" showAll="0">
      <items count="5">
        <item x="2"/>
        <item x="0"/>
        <item x="3"/>
        <item x="1"/>
        <item t="default"/>
      </items>
    </pivotField>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Fields count="1">
    <field x="2"/>
  </colFields>
  <colItems count="5">
    <i>
      <x/>
    </i>
    <i>
      <x v="1"/>
    </i>
    <i>
      <x v="2"/>
    </i>
    <i>
      <x v="3"/>
    </i>
    <i t="grand">
      <x/>
    </i>
  </colItems>
  <dataFields count="1">
    <dataField name="Average of Revenue" fld="9"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14F667-32FA-4CA7-B434-4470545B5E78}"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E23" firstHeaderRow="1" firstDataRow="2" firstDataCol="1"/>
  <pivotFields count="14">
    <pivotField dataField="1"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axis="axisCol" showAll="0">
      <items count="4">
        <item x="1"/>
        <item x="2"/>
        <item x="0"/>
        <item t="default"/>
      </items>
    </pivotField>
    <pivotField dragToRow="0" dragToCol="0" dragToPage="0" showAll="0" defaultSubtotal="0"/>
    <pivotField dragToRow="0" dragToCol="0" dragToPage="0" showAll="0" defaultSubtotal="0"/>
  </pivotFields>
  <rowFields count="1">
    <field x="4"/>
  </rowFields>
  <rowItems count="5">
    <i>
      <x/>
    </i>
    <i>
      <x v="1"/>
    </i>
    <i>
      <x v="2"/>
    </i>
    <i>
      <x v="3"/>
    </i>
    <i t="grand">
      <x/>
    </i>
  </rowItems>
  <colFields count="1">
    <field x="11"/>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4DC7211-F3AA-45C7-833D-75C74CB2207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12" firstHeaderRow="1" firstDataRow="2" firstDataCol="1"/>
  <pivotFields count="14">
    <pivotField showAll="0"/>
    <pivotField showAll="0"/>
    <pivotField axis="axisRow" showAll="0">
      <items count="5">
        <item x="2"/>
        <item x="0"/>
        <item x="3"/>
        <item x="1"/>
        <item t="default"/>
      </items>
    </pivotField>
    <pivotField showAll="0"/>
    <pivotField axis="axisCol" showAll="0">
      <items count="5">
        <item x="0"/>
        <item x="2"/>
        <item x="3"/>
        <item x="1"/>
        <item t="default"/>
      </items>
    </pivotField>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4"/>
  </colFields>
  <colItems count="5">
    <i>
      <x/>
    </i>
    <i>
      <x v="1"/>
    </i>
    <i>
      <x v="2"/>
    </i>
    <i>
      <x v="3"/>
    </i>
    <i t="grand">
      <x/>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146CDC-96B5-41B7-BDCF-D61A0BF93C8E}" sourceName="Region">
  <pivotTables>
    <pivotTable tabId="5" name="PivotTable9"/>
    <pivotTable tabId="8" name="PivotTable18"/>
  </pivotTables>
  <data>
    <tabular pivotCacheId="1347269837">
      <items count="4">
        <i x="2" s="1" nd="1"/>
        <i x="0" s="1" nd="1"/>
        <i x="3"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4B938A3-F306-4191-8A3B-F041DC05E673}" sourceName="Payment Mode">
  <pivotTables>
    <pivotTable tabId="5" name="PivotTable9"/>
    <pivotTable tabId="8" name="PivotTable18"/>
  </pivotTables>
  <data>
    <tabular pivotCacheId="134726983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227D91D-ED60-4D38-A4E1-66F54444DF95}" sourceName="Salesperson">
  <pivotTables>
    <pivotTable tabId="8" name="PivotTable18"/>
    <pivotTable tabId="5" name="PivotTable9"/>
  </pivotTables>
  <data>
    <tabular pivotCacheId="1347269837">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DC8487-3F1F-4DC5-BEC2-D6FA64CA8A4C}" cache="Slicer_Region" caption="Region" rowHeight="241300"/>
  <slicer name="Payment Mode" xr10:uid="{8B71614F-A743-4EF3-8E99-DFA47FFD1929}" cache="Slicer_Payment_Mode" caption="Payment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8911894-36D5-4CEB-AEC1-59FFBCFBBC6C}" cache="Slicer_Region" caption="Region" columnCount="2" style="SlicerStyleDark2" rowHeight="324000"/>
  <slicer name="Payment Mode 1" xr10:uid="{543858CA-1339-466E-A6D4-83E2A3A72A72}" cache="Slicer_Payment_Mode" caption="Payment Mode" style="SlicerStyleDark6" rowHeight="288000"/>
  <slicer name="Salesperson 1" xr10:uid="{5CB3C419-75F9-4558-8CD5-2AA07F76DE8F}" cache="Slicer_Salesperson" caption="Salesperson"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846DD40-F0B5-4BF9-8DB2-19AC3E3635EA}" sourceName="Date">
  <pivotTables>
    <pivotTable tabId="8" name="PivotTable1"/>
  </pivotTables>
  <state minimalRefreshVersion="6" lastRefreshVersion="6" pivotCacheId="1347269837" filterType="dateBetween">
    <selection startDate="2025-01-01T00:00:00" endDate="2025-01-31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A78FF8BF-C638-466E-8A58-B64BB212B300}" sourceName="Date">
  <pivotTables>
    <pivotTable tabId="5" name="PivotTable9"/>
    <pivotTable tabId="8" name="PivotTable18"/>
  </pivotTables>
  <state minimalRefreshVersion="6" lastRefreshVersion="6" pivotCacheId="134726983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1F83A093-6D91-42D7-95C1-DCFBBB22263E}" cache="NativeTimeline_Date2" caption="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51FF592-50B5-49AA-BD34-A6ACC5B84CCE}" cache="NativeTimeline_Date" caption="Date" level="2" selectionLevel="2" scrollPosition="202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5A938F9-DBE1-4B0C-B1A2-1E9BDC7D7970}" cache="NativeTimeline_Date2" caption="Date" level="2" selectionLevel="2" scrollPosition="2025-01-01T00:00:00" style="TimeSlicerStyleDark4"/>
</timeline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11/relationships/timeline" Target="../timelines/timelin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
  <sheetViews>
    <sheetView workbookViewId="0">
      <selection activeCell="J40" sqref="J40"/>
    </sheetView>
  </sheetViews>
  <sheetFormatPr defaultRowHeight="14.5" x14ac:dyDescent="0.35"/>
  <cols>
    <col min="1" max="1" width="15.54296875" bestFit="1" customWidth="1"/>
    <col min="2" max="2" width="15.26953125" style="6" bestFit="1" customWidth="1"/>
    <col min="3" max="3" width="9.81640625" bestFit="1" customWidth="1"/>
    <col min="4" max="4" width="5.7265625" bestFit="1" customWidth="1"/>
    <col min="5" max="5" width="10.7265625" bestFit="1" customWidth="1"/>
    <col min="6" max="6" width="15.54296875" bestFit="1" customWidth="1"/>
    <col min="7" max="7" width="15.26953125" bestFit="1" customWidth="1"/>
    <col min="8" max="8" width="20.36328125" bestFit="1" customWidth="1"/>
    <col min="9" max="9" width="20.08984375" bestFit="1" customWidth="1"/>
    <col min="10" max="10" width="7.81640625" bestFit="1" customWidth="1"/>
    <col min="11" max="11" width="5.7265625" bestFit="1" customWidth="1"/>
    <col min="12" max="12" width="5.08984375" bestFit="1" customWidth="1"/>
    <col min="13" max="13" width="5.26953125" bestFit="1" customWidth="1"/>
    <col min="14" max="14" width="10.7265625" bestFit="1" customWidth="1"/>
  </cols>
  <sheetData>
    <row r="1" spans="1:13" x14ac:dyDescent="0.35">
      <c r="A1" s="1" t="s">
        <v>0</v>
      </c>
      <c r="B1" s="5" t="s">
        <v>1</v>
      </c>
      <c r="C1" s="1" t="s">
        <v>2</v>
      </c>
      <c r="D1" s="1" t="s">
        <v>3</v>
      </c>
      <c r="E1" s="1" t="s">
        <v>4</v>
      </c>
      <c r="F1" s="1" t="s">
        <v>5</v>
      </c>
      <c r="G1" s="1" t="s">
        <v>6</v>
      </c>
      <c r="H1" s="1" t="s">
        <v>7</v>
      </c>
      <c r="I1" s="1" t="s">
        <v>8</v>
      </c>
      <c r="J1" s="1" t="s">
        <v>9</v>
      </c>
      <c r="K1" s="1" t="s">
        <v>10</v>
      </c>
      <c r="L1" s="1" t="s">
        <v>11</v>
      </c>
    </row>
    <row r="2" spans="1:13" x14ac:dyDescent="0.35">
      <c r="A2" t="s">
        <v>12</v>
      </c>
      <c r="B2" s="6">
        <v>45659</v>
      </c>
      <c r="C2" t="s">
        <v>13</v>
      </c>
      <c r="D2" t="s">
        <v>14</v>
      </c>
      <c r="E2" t="s">
        <v>15</v>
      </c>
      <c r="F2" t="s">
        <v>16</v>
      </c>
      <c r="G2" t="s">
        <v>17</v>
      </c>
      <c r="H2">
        <v>5</v>
      </c>
      <c r="I2">
        <v>55000</v>
      </c>
      <c r="J2">
        <v>275000</v>
      </c>
      <c r="K2">
        <v>0.05</v>
      </c>
      <c r="L2" t="s">
        <v>18</v>
      </c>
    </row>
    <row r="3" spans="1:13" x14ac:dyDescent="0.35">
      <c r="A3" t="s">
        <v>19</v>
      </c>
      <c r="B3" s="6">
        <v>45661</v>
      </c>
      <c r="C3" t="s">
        <v>20</v>
      </c>
      <c r="D3" t="s">
        <v>21</v>
      </c>
      <c r="E3" t="s">
        <v>22</v>
      </c>
      <c r="F3" t="s">
        <v>23</v>
      </c>
      <c r="G3" t="s">
        <v>17</v>
      </c>
      <c r="H3">
        <v>10</v>
      </c>
      <c r="I3">
        <v>18000</v>
      </c>
      <c r="J3">
        <v>180000</v>
      </c>
      <c r="K3">
        <v>0.1</v>
      </c>
      <c r="L3" t="s">
        <v>24</v>
      </c>
    </row>
    <row r="4" spans="1:13" x14ac:dyDescent="0.35">
      <c r="A4" t="s">
        <v>25</v>
      </c>
      <c r="B4" s="6">
        <v>45662</v>
      </c>
      <c r="C4" t="s">
        <v>26</v>
      </c>
      <c r="D4" t="s">
        <v>27</v>
      </c>
      <c r="E4" t="s">
        <v>28</v>
      </c>
      <c r="F4" t="s">
        <v>29</v>
      </c>
      <c r="G4" t="s">
        <v>30</v>
      </c>
      <c r="H4">
        <v>4</v>
      </c>
      <c r="I4">
        <v>12000</v>
      </c>
      <c r="J4">
        <v>48000</v>
      </c>
      <c r="K4">
        <v>0</v>
      </c>
      <c r="L4" t="s">
        <v>31</v>
      </c>
    </row>
    <row r="5" spans="1:13" x14ac:dyDescent="0.35">
      <c r="A5" t="s">
        <v>32</v>
      </c>
      <c r="B5" s="6">
        <v>45665</v>
      </c>
      <c r="C5" t="s">
        <v>33</v>
      </c>
      <c r="D5" t="s">
        <v>34</v>
      </c>
      <c r="E5" t="s">
        <v>35</v>
      </c>
      <c r="F5" t="s">
        <v>16</v>
      </c>
      <c r="G5" t="s">
        <v>17</v>
      </c>
      <c r="H5">
        <v>6</v>
      </c>
      <c r="I5">
        <v>53000</v>
      </c>
      <c r="J5">
        <v>318000</v>
      </c>
      <c r="K5">
        <v>0.08</v>
      </c>
      <c r="L5" t="s">
        <v>18</v>
      </c>
    </row>
    <row r="6" spans="1:13" x14ac:dyDescent="0.35">
      <c r="A6" t="s">
        <v>36</v>
      </c>
      <c r="B6" s="6">
        <v>45667</v>
      </c>
      <c r="C6" t="s">
        <v>13</v>
      </c>
      <c r="D6" t="s">
        <v>37</v>
      </c>
      <c r="E6" t="s">
        <v>15</v>
      </c>
      <c r="F6" t="s">
        <v>38</v>
      </c>
      <c r="G6" t="s">
        <v>17</v>
      </c>
      <c r="H6">
        <v>8</v>
      </c>
      <c r="I6">
        <v>25000</v>
      </c>
      <c r="J6">
        <v>200000</v>
      </c>
      <c r="K6">
        <v>0.05</v>
      </c>
      <c r="L6" t="s">
        <v>24</v>
      </c>
    </row>
    <row r="7" spans="1:13" x14ac:dyDescent="0.35">
      <c r="A7" t="s">
        <v>39</v>
      </c>
      <c r="B7" s="6">
        <v>45669</v>
      </c>
      <c r="C7" t="s">
        <v>20</v>
      </c>
      <c r="D7" t="s">
        <v>40</v>
      </c>
      <c r="E7" t="s">
        <v>22</v>
      </c>
      <c r="F7" t="s">
        <v>41</v>
      </c>
      <c r="G7" t="s">
        <v>42</v>
      </c>
      <c r="H7">
        <v>15</v>
      </c>
      <c r="I7">
        <v>800</v>
      </c>
      <c r="J7">
        <v>12000</v>
      </c>
      <c r="K7">
        <v>0</v>
      </c>
      <c r="L7" t="s">
        <v>31</v>
      </c>
    </row>
    <row r="8" spans="1:13" x14ac:dyDescent="0.35">
      <c r="A8" t="s">
        <v>43</v>
      </c>
      <c r="B8" s="6">
        <v>45672</v>
      </c>
      <c r="C8" t="s">
        <v>26</v>
      </c>
      <c r="D8" t="s">
        <v>44</v>
      </c>
      <c r="E8" t="s">
        <v>28</v>
      </c>
      <c r="F8" t="s">
        <v>16</v>
      </c>
      <c r="G8" t="s">
        <v>17</v>
      </c>
      <c r="H8">
        <v>3</v>
      </c>
      <c r="I8">
        <v>52000</v>
      </c>
      <c r="J8">
        <v>156000</v>
      </c>
      <c r="K8">
        <v>0.1</v>
      </c>
      <c r="L8" t="s">
        <v>18</v>
      </c>
    </row>
    <row r="9" spans="1:13" x14ac:dyDescent="0.35">
      <c r="A9" t="s">
        <v>45</v>
      </c>
      <c r="B9" s="6">
        <v>45675</v>
      </c>
      <c r="C9" t="s">
        <v>33</v>
      </c>
      <c r="D9" t="s">
        <v>46</v>
      </c>
      <c r="E9" t="s">
        <v>35</v>
      </c>
      <c r="F9" t="s">
        <v>47</v>
      </c>
      <c r="G9" t="s">
        <v>42</v>
      </c>
      <c r="H9">
        <v>10</v>
      </c>
      <c r="I9">
        <v>1200</v>
      </c>
      <c r="J9">
        <v>12000</v>
      </c>
      <c r="K9">
        <v>0</v>
      </c>
      <c r="L9" t="s">
        <v>24</v>
      </c>
    </row>
    <row r="10" spans="1:13" x14ac:dyDescent="0.35">
      <c r="A10" t="s">
        <v>48</v>
      </c>
      <c r="B10" s="6">
        <v>45677</v>
      </c>
      <c r="C10" t="s">
        <v>13</v>
      </c>
      <c r="D10" t="s">
        <v>14</v>
      </c>
      <c r="E10" t="s">
        <v>15</v>
      </c>
      <c r="F10" t="s">
        <v>49</v>
      </c>
      <c r="G10" t="s">
        <v>42</v>
      </c>
      <c r="H10">
        <v>12</v>
      </c>
      <c r="I10">
        <v>1500</v>
      </c>
      <c r="J10">
        <v>18000</v>
      </c>
      <c r="K10">
        <v>0.05</v>
      </c>
      <c r="L10" t="s">
        <v>31</v>
      </c>
    </row>
    <row r="11" spans="1:13" x14ac:dyDescent="0.35">
      <c r="A11" t="s">
        <v>50</v>
      </c>
      <c r="B11" s="6">
        <v>45679</v>
      </c>
      <c r="C11" t="s">
        <v>20</v>
      </c>
      <c r="D11" t="s">
        <v>51</v>
      </c>
      <c r="E11" t="s">
        <v>22</v>
      </c>
      <c r="F11" t="s">
        <v>29</v>
      </c>
      <c r="G11" t="s">
        <v>30</v>
      </c>
      <c r="H11">
        <v>5</v>
      </c>
      <c r="I11">
        <v>11000</v>
      </c>
      <c r="J11">
        <v>55000</v>
      </c>
      <c r="K11">
        <v>0</v>
      </c>
      <c r="L11" t="s">
        <v>18</v>
      </c>
    </row>
    <row r="12" spans="1:13" x14ac:dyDescent="0.35">
      <c r="A12" t="s">
        <v>52</v>
      </c>
      <c r="B12" s="6">
        <v>45682</v>
      </c>
      <c r="C12" t="s">
        <v>26</v>
      </c>
      <c r="D12" t="s">
        <v>53</v>
      </c>
      <c r="E12" t="s">
        <v>28</v>
      </c>
      <c r="F12" t="s">
        <v>23</v>
      </c>
      <c r="G12" t="s">
        <v>17</v>
      </c>
      <c r="H12">
        <v>9</v>
      </c>
      <c r="I12">
        <v>17500</v>
      </c>
      <c r="J12">
        <v>157500</v>
      </c>
      <c r="K12">
        <v>0.1</v>
      </c>
      <c r="L12" t="s">
        <v>24</v>
      </c>
      <c r="M12" s="6"/>
    </row>
    <row r="13" spans="1:13" x14ac:dyDescent="0.35">
      <c r="A13" t="s">
        <v>54</v>
      </c>
      <c r="B13" s="6">
        <v>45685</v>
      </c>
      <c r="C13" t="s">
        <v>33</v>
      </c>
      <c r="D13" t="s">
        <v>55</v>
      </c>
      <c r="E13" t="s">
        <v>35</v>
      </c>
      <c r="F13" t="s">
        <v>16</v>
      </c>
      <c r="G13" t="s">
        <v>17</v>
      </c>
      <c r="H13">
        <v>4</v>
      </c>
      <c r="I13">
        <v>54000</v>
      </c>
      <c r="J13">
        <v>216000</v>
      </c>
      <c r="K13">
        <v>0.05</v>
      </c>
      <c r="L13" t="s">
        <v>31</v>
      </c>
    </row>
    <row r="14" spans="1:13" x14ac:dyDescent="0.35">
      <c r="A14" t="s">
        <v>56</v>
      </c>
      <c r="B14" s="6">
        <v>45687</v>
      </c>
      <c r="C14" t="s">
        <v>13</v>
      </c>
      <c r="D14" t="s">
        <v>57</v>
      </c>
      <c r="E14" t="s">
        <v>15</v>
      </c>
      <c r="F14" t="s">
        <v>38</v>
      </c>
      <c r="G14" t="s">
        <v>17</v>
      </c>
      <c r="H14">
        <v>6</v>
      </c>
      <c r="I14">
        <v>24000</v>
      </c>
      <c r="J14">
        <v>144000</v>
      </c>
      <c r="K14">
        <v>0.05</v>
      </c>
      <c r="L14" t="s">
        <v>18</v>
      </c>
    </row>
    <row r="15" spans="1:13" x14ac:dyDescent="0.35">
      <c r="A15" t="s">
        <v>58</v>
      </c>
      <c r="B15" s="6">
        <v>45690</v>
      </c>
      <c r="C15" t="s">
        <v>20</v>
      </c>
      <c r="D15" t="s">
        <v>21</v>
      </c>
      <c r="E15" t="s">
        <v>22</v>
      </c>
      <c r="F15" t="s">
        <v>47</v>
      </c>
      <c r="G15" t="s">
        <v>42</v>
      </c>
      <c r="H15">
        <v>8</v>
      </c>
      <c r="I15">
        <v>1100</v>
      </c>
      <c r="J15">
        <v>8800</v>
      </c>
      <c r="K15">
        <v>0</v>
      </c>
      <c r="L15" t="s">
        <v>31</v>
      </c>
    </row>
    <row r="16" spans="1:13" x14ac:dyDescent="0.35">
      <c r="A16" t="s">
        <v>59</v>
      </c>
      <c r="B16" s="6">
        <v>45693</v>
      </c>
      <c r="C16" t="s">
        <v>26</v>
      </c>
      <c r="D16" t="s">
        <v>27</v>
      </c>
      <c r="E16" t="s">
        <v>28</v>
      </c>
      <c r="F16" t="s">
        <v>41</v>
      </c>
      <c r="G16" t="s">
        <v>42</v>
      </c>
      <c r="H16">
        <v>20</v>
      </c>
      <c r="I16">
        <v>750</v>
      </c>
      <c r="J16">
        <v>15000</v>
      </c>
      <c r="K16">
        <v>0</v>
      </c>
      <c r="L16" t="s">
        <v>24</v>
      </c>
    </row>
    <row r="17" spans="1:12" x14ac:dyDescent="0.35">
      <c r="A17" t="s">
        <v>60</v>
      </c>
      <c r="B17" s="6">
        <v>45696</v>
      </c>
      <c r="C17" t="s">
        <v>33</v>
      </c>
      <c r="D17" t="s">
        <v>34</v>
      </c>
      <c r="E17" t="s">
        <v>35</v>
      </c>
      <c r="F17" t="s">
        <v>23</v>
      </c>
      <c r="G17" t="s">
        <v>17</v>
      </c>
      <c r="H17">
        <v>7</v>
      </c>
      <c r="I17">
        <v>18500</v>
      </c>
      <c r="J17">
        <v>129500</v>
      </c>
      <c r="K17">
        <v>0.1</v>
      </c>
      <c r="L17" t="s">
        <v>18</v>
      </c>
    </row>
    <row r="18" spans="1:12" x14ac:dyDescent="0.35">
      <c r="A18" t="s">
        <v>61</v>
      </c>
      <c r="B18" s="6">
        <v>45698</v>
      </c>
      <c r="C18" t="s">
        <v>13</v>
      </c>
      <c r="D18" t="s">
        <v>14</v>
      </c>
      <c r="E18" t="s">
        <v>15</v>
      </c>
      <c r="F18" t="s">
        <v>16</v>
      </c>
      <c r="G18" t="s">
        <v>17</v>
      </c>
      <c r="H18">
        <v>5</v>
      </c>
      <c r="I18">
        <v>56000</v>
      </c>
      <c r="J18">
        <v>280000</v>
      </c>
      <c r="K18">
        <v>0.05</v>
      </c>
      <c r="L18" t="s">
        <v>31</v>
      </c>
    </row>
    <row r="19" spans="1:12" x14ac:dyDescent="0.35">
      <c r="A19" t="s">
        <v>62</v>
      </c>
      <c r="B19" s="6">
        <v>45701</v>
      </c>
      <c r="C19" t="s">
        <v>20</v>
      </c>
      <c r="D19" t="s">
        <v>40</v>
      </c>
      <c r="E19" t="s">
        <v>22</v>
      </c>
      <c r="F19" t="s">
        <v>38</v>
      </c>
      <c r="G19" t="s">
        <v>17</v>
      </c>
      <c r="H19">
        <v>9</v>
      </c>
      <c r="I19">
        <v>24500</v>
      </c>
      <c r="J19">
        <v>220500</v>
      </c>
      <c r="K19">
        <v>0.05</v>
      </c>
      <c r="L19" t="s">
        <v>24</v>
      </c>
    </row>
    <row r="20" spans="1:12" x14ac:dyDescent="0.35">
      <c r="A20" t="s">
        <v>63</v>
      </c>
      <c r="B20" s="6">
        <v>45703</v>
      </c>
      <c r="C20" t="s">
        <v>26</v>
      </c>
      <c r="D20" t="s">
        <v>44</v>
      </c>
      <c r="E20" t="s">
        <v>28</v>
      </c>
      <c r="F20" t="s">
        <v>29</v>
      </c>
      <c r="G20" t="s">
        <v>30</v>
      </c>
      <c r="H20">
        <v>3</v>
      </c>
      <c r="I20">
        <v>11500</v>
      </c>
      <c r="J20">
        <v>34500</v>
      </c>
      <c r="K20">
        <v>0</v>
      </c>
      <c r="L20" t="s">
        <v>18</v>
      </c>
    </row>
    <row r="21" spans="1:12" x14ac:dyDescent="0.35">
      <c r="A21" t="s">
        <v>64</v>
      </c>
      <c r="B21" s="6">
        <v>45706</v>
      </c>
      <c r="C21" t="s">
        <v>33</v>
      </c>
      <c r="D21" t="s">
        <v>46</v>
      </c>
      <c r="E21" t="s">
        <v>35</v>
      </c>
      <c r="F21" t="s">
        <v>49</v>
      </c>
      <c r="G21" t="s">
        <v>42</v>
      </c>
      <c r="H21">
        <v>10</v>
      </c>
      <c r="I21">
        <v>1400</v>
      </c>
      <c r="J21">
        <v>14000</v>
      </c>
      <c r="K21">
        <v>0</v>
      </c>
      <c r="L21" t="s">
        <v>31</v>
      </c>
    </row>
    <row r="30" spans="1:12" x14ac:dyDescent="0.35">
      <c r="B30"/>
    </row>
    <row r="32" spans="1:1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row r="47" spans="2:2" x14ac:dyDescent="0.35">
      <c r="B47"/>
    </row>
    <row r="48" spans="2:2" x14ac:dyDescent="0.35">
      <c r="B48"/>
    </row>
    <row r="49" spans="2:2" x14ac:dyDescent="0.35">
      <c r="B49"/>
    </row>
    <row r="50" spans="2:2" x14ac:dyDescent="0.35">
      <c r="B50"/>
    </row>
    <row r="51" spans="2:2" x14ac:dyDescent="0.35">
      <c r="B51"/>
    </row>
    <row r="52" spans="2:2" x14ac:dyDescent="0.35">
      <c r="B52"/>
    </row>
    <row r="53" spans="2:2" x14ac:dyDescent="0.35">
      <c r="B5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4294-FB29-4427-8B9A-8389C714C1CC}">
  <dimension ref="A1:E64"/>
  <sheetViews>
    <sheetView topLeftCell="A28" workbookViewId="0">
      <selection activeCell="M32" sqref="M32"/>
    </sheetView>
  </sheetViews>
  <sheetFormatPr defaultRowHeight="14.5" x14ac:dyDescent="0.35"/>
  <cols>
    <col min="1" max="1" width="21.6328125" bestFit="1" customWidth="1"/>
    <col min="2" max="2" width="15.26953125" bestFit="1" customWidth="1"/>
    <col min="3" max="3" width="4.81640625" bestFit="1" customWidth="1"/>
    <col min="4" max="4" width="3.7265625" bestFit="1" customWidth="1"/>
    <col min="5" max="5" width="10.7265625" bestFit="1" customWidth="1"/>
    <col min="6" max="6" width="6.54296875" bestFit="1" customWidth="1"/>
    <col min="7" max="8" width="11.81640625" bestFit="1" customWidth="1"/>
    <col min="9" max="9" width="10.7265625" bestFit="1" customWidth="1"/>
    <col min="10" max="20" width="6.81640625" bestFit="1" customWidth="1"/>
    <col min="21" max="21" width="10.7265625" bestFit="1" customWidth="1"/>
  </cols>
  <sheetData>
    <row r="1" spans="1:5" x14ac:dyDescent="0.35">
      <c r="A1" s="2" t="s">
        <v>81</v>
      </c>
      <c r="B1" s="2"/>
      <c r="C1" s="2"/>
    </row>
    <row r="3" spans="1:5" ht="18.5" x14ac:dyDescent="0.45">
      <c r="A3" s="7" t="s">
        <v>112</v>
      </c>
      <c r="B3" s="7"/>
      <c r="C3" s="7"/>
      <c r="D3" s="2"/>
      <c r="E3" s="2"/>
    </row>
    <row r="5" spans="1:5" x14ac:dyDescent="0.35">
      <c r="A5" s="3" t="s">
        <v>113</v>
      </c>
      <c r="B5" s="3" t="s">
        <v>99</v>
      </c>
    </row>
    <row r="6" spans="1:5" x14ac:dyDescent="0.35">
      <c r="A6" s="3" t="s">
        <v>102</v>
      </c>
      <c r="B6" t="s">
        <v>24</v>
      </c>
      <c r="C6" t="s">
        <v>31</v>
      </c>
      <c r="D6" t="s">
        <v>18</v>
      </c>
      <c r="E6" t="s">
        <v>100</v>
      </c>
    </row>
    <row r="7" spans="1:5" x14ac:dyDescent="0.35">
      <c r="A7" s="4" t="s">
        <v>26</v>
      </c>
      <c r="B7" s="11">
        <v>2</v>
      </c>
      <c r="C7" s="11">
        <v>1</v>
      </c>
      <c r="D7" s="11">
        <v>2</v>
      </c>
      <c r="E7" s="11">
        <v>5</v>
      </c>
    </row>
    <row r="8" spans="1:5" x14ac:dyDescent="0.35">
      <c r="A8" s="4" t="s">
        <v>13</v>
      </c>
      <c r="B8" s="11">
        <v>1</v>
      </c>
      <c r="C8" s="11">
        <v>2</v>
      </c>
      <c r="D8" s="11">
        <v>2</v>
      </c>
      <c r="E8" s="11">
        <v>5</v>
      </c>
    </row>
    <row r="9" spans="1:5" x14ac:dyDescent="0.35">
      <c r="A9" s="4" t="s">
        <v>33</v>
      </c>
      <c r="B9" s="11">
        <v>1</v>
      </c>
      <c r="C9" s="11">
        <v>2</v>
      </c>
      <c r="D9" s="11">
        <v>2</v>
      </c>
      <c r="E9" s="11">
        <v>5</v>
      </c>
    </row>
    <row r="10" spans="1:5" x14ac:dyDescent="0.35">
      <c r="A10" s="4" t="s">
        <v>20</v>
      </c>
      <c r="B10" s="11">
        <v>2</v>
      </c>
      <c r="C10" s="11">
        <v>2</v>
      </c>
      <c r="D10" s="11">
        <v>1</v>
      </c>
      <c r="E10" s="11">
        <v>5</v>
      </c>
    </row>
    <row r="11" spans="1:5" x14ac:dyDescent="0.35">
      <c r="A11" s="4" t="s">
        <v>100</v>
      </c>
      <c r="B11" s="11">
        <v>6</v>
      </c>
      <c r="C11" s="11">
        <v>7</v>
      </c>
      <c r="D11" s="11">
        <v>7</v>
      </c>
      <c r="E11" s="11">
        <v>20</v>
      </c>
    </row>
    <row r="16" spans="1:5" ht="18.5" x14ac:dyDescent="0.45">
      <c r="A16" s="9" t="s">
        <v>118</v>
      </c>
      <c r="B16" s="9"/>
      <c r="C16" s="9"/>
      <c r="D16" s="9"/>
      <c r="E16" s="9"/>
    </row>
    <row r="19" spans="1:5" x14ac:dyDescent="0.35">
      <c r="A19" s="3" t="s">
        <v>102</v>
      </c>
      <c r="B19" t="s">
        <v>101</v>
      </c>
    </row>
    <row r="20" spans="1:5" x14ac:dyDescent="0.35">
      <c r="A20" s="8">
        <v>45659</v>
      </c>
      <c r="B20">
        <v>275000</v>
      </c>
    </row>
    <row r="21" spans="1:5" x14ac:dyDescent="0.35">
      <c r="A21" s="8">
        <v>45661</v>
      </c>
      <c r="B21">
        <v>180000</v>
      </c>
    </row>
    <row r="22" spans="1:5" x14ac:dyDescent="0.35">
      <c r="A22" s="8">
        <v>45662</v>
      </c>
      <c r="B22">
        <v>48000</v>
      </c>
    </row>
    <row r="23" spans="1:5" x14ac:dyDescent="0.35">
      <c r="A23" s="8">
        <v>45665</v>
      </c>
      <c r="B23">
        <v>318000</v>
      </c>
    </row>
    <row r="24" spans="1:5" x14ac:dyDescent="0.35">
      <c r="A24" s="8">
        <v>45667</v>
      </c>
      <c r="B24">
        <v>200000</v>
      </c>
    </row>
    <row r="25" spans="1:5" x14ac:dyDescent="0.35">
      <c r="A25" s="8">
        <v>45669</v>
      </c>
      <c r="B25">
        <v>12000</v>
      </c>
    </row>
    <row r="26" spans="1:5" x14ac:dyDescent="0.35">
      <c r="A26" s="8">
        <v>45672</v>
      </c>
      <c r="B26">
        <v>156000</v>
      </c>
    </row>
    <row r="27" spans="1:5" x14ac:dyDescent="0.35">
      <c r="A27" s="8">
        <v>45675</v>
      </c>
      <c r="B27">
        <v>12000</v>
      </c>
    </row>
    <row r="28" spans="1:5" x14ac:dyDescent="0.35">
      <c r="A28" s="8">
        <v>45677</v>
      </c>
      <c r="B28">
        <v>18000</v>
      </c>
    </row>
    <row r="29" spans="1:5" x14ac:dyDescent="0.35">
      <c r="A29" s="8">
        <v>45679</v>
      </c>
      <c r="B29">
        <v>55000</v>
      </c>
    </row>
    <row r="30" spans="1:5" x14ac:dyDescent="0.35">
      <c r="A30" s="8">
        <v>45682</v>
      </c>
      <c r="B30">
        <v>157500</v>
      </c>
      <c r="D30" s="2"/>
      <c r="E30" s="2"/>
    </row>
    <row r="31" spans="1:5" x14ac:dyDescent="0.35">
      <c r="A31" s="8">
        <v>45685</v>
      </c>
      <c r="B31">
        <v>216000</v>
      </c>
    </row>
    <row r="32" spans="1:5" x14ac:dyDescent="0.35">
      <c r="A32" s="8">
        <v>45687</v>
      </c>
      <c r="B32">
        <v>144000</v>
      </c>
    </row>
    <row r="33" spans="1:4" x14ac:dyDescent="0.35">
      <c r="A33" s="4" t="s">
        <v>100</v>
      </c>
      <c r="B33">
        <v>1791500</v>
      </c>
    </row>
    <row r="38" spans="1:4" ht="18.5" x14ac:dyDescent="0.45">
      <c r="A38" s="7" t="s">
        <v>120</v>
      </c>
      <c r="B38" s="7"/>
      <c r="C38" s="7"/>
      <c r="D38" s="7"/>
    </row>
    <row r="41" spans="1:4" x14ac:dyDescent="0.35">
      <c r="A41" t="s">
        <v>119</v>
      </c>
    </row>
    <row r="42" spans="1:4" x14ac:dyDescent="0.35">
      <c r="A42">
        <v>423945.99999999953</v>
      </c>
    </row>
    <row r="47" spans="1:4" ht="18.5" x14ac:dyDescent="0.45">
      <c r="A47" s="7" t="s">
        <v>121</v>
      </c>
      <c r="B47" s="7"/>
    </row>
    <row r="48" spans="1:4" ht="18.5" x14ac:dyDescent="0.45">
      <c r="A48" s="7"/>
      <c r="B48" s="7"/>
    </row>
    <row r="49" spans="1:3" x14ac:dyDescent="0.35">
      <c r="A49" s="3" t="s">
        <v>5</v>
      </c>
      <c r="B49" t="s">
        <v>122</v>
      </c>
    </row>
    <row r="51" spans="1:3" x14ac:dyDescent="0.35">
      <c r="A51" t="s">
        <v>111</v>
      </c>
    </row>
    <row r="52" spans="1:3" x14ac:dyDescent="0.35">
      <c r="A52">
        <v>124690</v>
      </c>
    </row>
    <row r="57" spans="1:3" ht="18.5" x14ac:dyDescent="0.45">
      <c r="A57" s="7" t="s">
        <v>123</v>
      </c>
      <c r="B57" s="7"/>
      <c r="C57" s="7"/>
    </row>
    <row r="60" spans="1:3" x14ac:dyDescent="0.35">
      <c r="A60" s="3" t="s">
        <v>102</v>
      </c>
      <c r="B60" t="s">
        <v>101</v>
      </c>
    </row>
    <row r="61" spans="1:3" x14ac:dyDescent="0.35">
      <c r="A61" s="4" t="s">
        <v>16</v>
      </c>
      <c r="B61">
        <v>1245000</v>
      </c>
    </row>
    <row r="62" spans="1:3" x14ac:dyDescent="0.35">
      <c r="A62" s="4" t="s">
        <v>23</v>
      </c>
      <c r="B62">
        <v>467000</v>
      </c>
    </row>
    <row r="63" spans="1:3" x14ac:dyDescent="0.35">
      <c r="A63" s="4" t="s">
        <v>38</v>
      </c>
      <c r="B63">
        <v>564500</v>
      </c>
    </row>
    <row r="64" spans="1:3" x14ac:dyDescent="0.35">
      <c r="A64" s="4" t="s">
        <v>100</v>
      </c>
      <c r="B64">
        <v>2276500</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11298-B65B-445B-8154-936168B5B456}">
  <dimension ref="A2:I56"/>
  <sheetViews>
    <sheetView tabSelected="1" workbookViewId="0">
      <selection activeCell="A7" sqref="A7"/>
    </sheetView>
  </sheetViews>
  <sheetFormatPr defaultRowHeight="14.5" x14ac:dyDescent="0.35"/>
  <cols>
    <col min="1" max="1" width="12.36328125" bestFit="1" customWidth="1"/>
    <col min="2" max="2" width="14.36328125" bestFit="1" customWidth="1"/>
    <col min="3" max="5" width="6.81640625" bestFit="1" customWidth="1"/>
    <col min="6" max="6" width="10.7265625" bestFit="1" customWidth="1"/>
  </cols>
  <sheetData>
    <row r="2" spans="1:7" x14ac:dyDescent="0.35">
      <c r="A2" s="2" t="s">
        <v>92</v>
      </c>
      <c r="B2" s="2"/>
      <c r="C2" s="2"/>
    </row>
    <row r="4" spans="1:7" ht="18.5" x14ac:dyDescent="0.45">
      <c r="A4" s="7" t="s">
        <v>114</v>
      </c>
      <c r="B4" s="7"/>
      <c r="C4" s="7"/>
      <c r="D4" s="7"/>
      <c r="E4" s="7"/>
      <c r="F4" s="7"/>
      <c r="G4" s="2"/>
    </row>
    <row r="6" spans="1:7" x14ac:dyDescent="0.35">
      <c r="A6" s="3" t="s">
        <v>102</v>
      </c>
      <c r="B6" t="s">
        <v>101</v>
      </c>
    </row>
    <row r="7" spans="1:7" x14ac:dyDescent="0.35">
      <c r="A7" s="4" t="s">
        <v>26</v>
      </c>
      <c r="B7" s="11">
        <v>411000</v>
      </c>
    </row>
    <row r="8" spans="1:7" x14ac:dyDescent="0.35">
      <c r="A8" s="4" t="s">
        <v>13</v>
      </c>
      <c r="B8" s="11">
        <v>917000</v>
      </c>
    </row>
    <row r="9" spans="1:7" x14ac:dyDescent="0.35">
      <c r="A9" s="4" t="s">
        <v>33</v>
      </c>
      <c r="B9" s="11">
        <v>689500</v>
      </c>
    </row>
    <row r="10" spans="1:7" x14ac:dyDescent="0.35">
      <c r="A10" s="4" t="s">
        <v>20</v>
      </c>
      <c r="B10" s="11">
        <v>476300</v>
      </c>
    </row>
    <row r="11" spans="1:7" x14ac:dyDescent="0.35">
      <c r="A11" s="4" t="s">
        <v>100</v>
      </c>
      <c r="B11" s="11">
        <v>2493800</v>
      </c>
    </row>
    <row r="23" spans="1:9" ht="18.5" x14ac:dyDescent="0.45">
      <c r="A23" s="7" t="s">
        <v>115</v>
      </c>
      <c r="B23" s="7"/>
      <c r="C23" s="7"/>
      <c r="D23" s="7"/>
      <c r="E23" s="7"/>
      <c r="F23" s="7"/>
    </row>
    <row r="24" spans="1:9" x14ac:dyDescent="0.35">
      <c r="C24" s="2"/>
      <c r="D24" s="2"/>
      <c r="E24" s="2"/>
      <c r="F24" s="2"/>
    </row>
    <row r="26" spans="1:9" x14ac:dyDescent="0.35">
      <c r="A26" s="3" t="s">
        <v>102</v>
      </c>
      <c r="B26" t="s">
        <v>101</v>
      </c>
    </row>
    <row r="27" spans="1:9" x14ac:dyDescent="0.35">
      <c r="A27" s="8">
        <v>45659</v>
      </c>
      <c r="B27">
        <v>275000</v>
      </c>
    </row>
    <row r="28" spans="1:9" x14ac:dyDescent="0.35">
      <c r="A28" s="8">
        <v>45661</v>
      </c>
      <c r="B28">
        <v>180000</v>
      </c>
    </row>
    <row r="29" spans="1:9" x14ac:dyDescent="0.35">
      <c r="A29" s="8">
        <v>45662</v>
      </c>
      <c r="B29">
        <v>48000</v>
      </c>
    </row>
    <row r="30" spans="1:9" x14ac:dyDescent="0.35">
      <c r="A30" s="8">
        <v>45665</v>
      </c>
      <c r="B30">
        <v>318000</v>
      </c>
    </row>
    <row r="31" spans="1:9" x14ac:dyDescent="0.35">
      <c r="A31" s="8">
        <v>45667</v>
      </c>
      <c r="B31">
        <v>200000</v>
      </c>
      <c r="I31" s="2"/>
    </row>
    <row r="32" spans="1:9" x14ac:dyDescent="0.35">
      <c r="A32" s="8">
        <v>45669</v>
      </c>
      <c r="B32">
        <v>12000</v>
      </c>
    </row>
    <row r="33" spans="1:6" x14ac:dyDescent="0.35">
      <c r="A33" s="8">
        <v>45672</v>
      </c>
      <c r="B33">
        <v>156000</v>
      </c>
    </row>
    <row r="34" spans="1:6" x14ac:dyDescent="0.35">
      <c r="A34" s="8">
        <v>45675</v>
      </c>
      <c r="B34">
        <v>12000</v>
      </c>
    </row>
    <row r="35" spans="1:6" x14ac:dyDescent="0.35">
      <c r="A35" s="8">
        <v>45677</v>
      </c>
      <c r="B35">
        <v>18000</v>
      </c>
    </row>
    <row r="36" spans="1:6" x14ac:dyDescent="0.35">
      <c r="A36" s="8">
        <v>45679</v>
      </c>
      <c r="B36">
        <v>55000</v>
      </c>
    </row>
    <row r="37" spans="1:6" x14ac:dyDescent="0.35">
      <c r="A37" s="8">
        <v>45682</v>
      </c>
      <c r="B37">
        <v>157500</v>
      </c>
    </row>
    <row r="38" spans="1:6" x14ac:dyDescent="0.35">
      <c r="A38" s="8">
        <v>45685</v>
      </c>
      <c r="B38">
        <v>216000</v>
      </c>
    </row>
    <row r="39" spans="1:6" x14ac:dyDescent="0.35">
      <c r="A39" s="8">
        <v>45687</v>
      </c>
      <c r="B39">
        <v>144000</v>
      </c>
    </row>
    <row r="40" spans="1:6" x14ac:dyDescent="0.35">
      <c r="A40" s="4" t="s">
        <v>100</v>
      </c>
      <c r="B40">
        <v>1791500</v>
      </c>
    </row>
    <row r="48" spans="1:6" ht="18.5" x14ac:dyDescent="0.45">
      <c r="A48" s="7" t="s">
        <v>124</v>
      </c>
      <c r="B48" s="7"/>
      <c r="C48" s="7"/>
      <c r="D48" s="7"/>
      <c r="E48" s="7"/>
      <c r="F48" s="7"/>
    </row>
    <row r="50" spans="1:6" x14ac:dyDescent="0.35">
      <c r="A50" s="3" t="s">
        <v>101</v>
      </c>
      <c r="B50" s="3" t="s">
        <v>99</v>
      </c>
    </row>
    <row r="51" spans="1:6" x14ac:dyDescent="0.35">
      <c r="A51" s="3" t="s">
        <v>102</v>
      </c>
      <c r="B51" t="s">
        <v>26</v>
      </c>
      <c r="C51" t="s">
        <v>13</v>
      </c>
      <c r="D51" t="s">
        <v>33</v>
      </c>
      <c r="E51" t="s">
        <v>20</v>
      </c>
      <c r="F51" t="s">
        <v>100</v>
      </c>
    </row>
    <row r="52" spans="1:6" x14ac:dyDescent="0.35">
      <c r="A52" s="4" t="s">
        <v>15</v>
      </c>
      <c r="C52">
        <v>917000</v>
      </c>
      <c r="F52">
        <v>917000</v>
      </c>
    </row>
    <row r="53" spans="1:6" x14ac:dyDescent="0.35">
      <c r="A53" s="4" t="s">
        <v>28</v>
      </c>
      <c r="B53">
        <v>411000</v>
      </c>
      <c r="F53">
        <v>411000</v>
      </c>
    </row>
    <row r="54" spans="1:6" x14ac:dyDescent="0.35">
      <c r="A54" s="4" t="s">
        <v>35</v>
      </c>
      <c r="D54">
        <v>689500</v>
      </c>
      <c r="F54">
        <v>689500</v>
      </c>
    </row>
    <row r="55" spans="1:6" x14ac:dyDescent="0.35">
      <c r="A55" s="4" t="s">
        <v>22</v>
      </c>
      <c r="E55">
        <v>476300</v>
      </c>
      <c r="F55">
        <v>476300</v>
      </c>
    </row>
    <row r="56" spans="1:6" x14ac:dyDescent="0.35">
      <c r="A56" s="4" t="s">
        <v>100</v>
      </c>
      <c r="B56">
        <v>411000</v>
      </c>
      <c r="C56">
        <v>917000</v>
      </c>
      <c r="D56">
        <v>689500</v>
      </c>
      <c r="E56">
        <v>476300</v>
      </c>
      <c r="F56">
        <v>2493800</v>
      </c>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A179-A02F-4E0E-A576-CEF932A05080}">
  <dimension ref="A1:D42"/>
  <sheetViews>
    <sheetView zoomScale="115" zoomScaleNormal="115" workbookViewId="0">
      <selection activeCell="A49" sqref="A49"/>
    </sheetView>
  </sheetViews>
  <sheetFormatPr defaultRowHeight="14.5" x14ac:dyDescent="0.35"/>
  <cols>
    <col min="1" max="1" width="12.36328125" bestFit="1" customWidth="1"/>
    <col min="2" max="2" width="14.36328125" bestFit="1" customWidth="1"/>
    <col min="3" max="3" width="13.1796875" customWidth="1"/>
    <col min="4" max="5" width="6.6328125" bestFit="1" customWidth="1"/>
    <col min="6" max="6" width="6.54296875" bestFit="1" customWidth="1"/>
    <col min="7" max="7" width="6.6328125" bestFit="1" customWidth="1"/>
    <col min="8" max="8" width="6.08984375" bestFit="1" customWidth="1"/>
    <col min="9" max="9" width="10.7265625" bestFit="1" customWidth="1"/>
    <col min="10" max="19" width="15.26953125" bestFit="1" customWidth="1"/>
    <col min="20" max="20" width="10.7265625" bestFit="1" customWidth="1"/>
  </cols>
  <sheetData>
    <row r="1" spans="1:4" ht="21" x14ac:dyDescent="0.5">
      <c r="A1" s="10" t="s">
        <v>65</v>
      </c>
      <c r="B1" s="10"/>
      <c r="C1" s="10"/>
      <c r="D1" s="2"/>
    </row>
    <row r="2" spans="1:4" x14ac:dyDescent="0.35">
      <c r="A2" s="2"/>
      <c r="B2" s="2"/>
      <c r="C2" s="2"/>
      <c r="D2" s="2"/>
    </row>
    <row r="3" spans="1:4" ht="18.5" x14ac:dyDescent="0.45">
      <c r="A3" s="7" t="s">
        <v>105</v>
      </c>
      <c r="B3" s="7"/>
      <c r="C3" s="7"/>
      <c r="D3" s="7"/>
    </row>
    <row r="5" spans="1:4" x14ac:dyDescent="0.35">
      <c r="A5" s="3" t="s">
        <v>102</v>
      </c>
      <c r="B5" t="s">
        <v>101</v>
      </c>
    </row>
    <row r="6" spans="1:4" x14ac:dyDescent="0.35">
      <c r="A6" s="4" t="s">
        <v>26</v>
      </c>
      <c r="B6">
        <v>411000</v>
      </c>
    </row>
    <row r="7" spans="1:4" x14ac:dyDescent="0.35">
      <c r="A7" s="4" t="s">
        <v>13</v>
      </c>
      <c r="B7">
        <v>917000</v>
      </c>
    </row>
    <row r="8" spans="1:4" x14ac:dyDescent="0.35">
      <c r="A8" s="4" t="s">
        <v>33</v>
      </c>
      <c r="B8">
        <v>689500</v>
      </c>
    </row>
    <row r="9" spans="1:4" x14ac:dyDescent="0.35">
      <c r="A9" s="4" t="s">
        <v>20</v>
      </c>
      <c r="B9">
        <v>476300</v>
      </c>
    </row>
    <row r="10" spans="1:4" x14ac:dyDescent="0.35">
      <c r="A10" s="4" t="s">
        <v>100</v>
      </c>
      <c r="B10">
        <v>2493800</v>
      </c>
      <c r="C10" s="2"/>
    </row>
    <row r="11" spans="1:4" x14ac:dyDescent="0.35">
      <c r="A11" s="4"/>
      <c r="C11" s="2"/>
    </row>
    <row r="12" spans="1:4" ht="18.5" x14ac:dyDescent="0.45">
      <c r="A12" s="7" t="s">
        <v>116</v>
      </c>
      <c r="B12" s="7"/>
      <c r="C12" s="7"/>
    </row>
    <row r="14" spans="1:4" x14ac:dyDescent="0.35">
      <c r="A14" s="3" t="s">
        <v>102</v>
      </c>
      <c r="B14" t="s">
        <v>103</v>
      </c>
    </row>
    <row r="15" spans="1:4" x14ac:dyDescent="0.35">
      <c r="A15" s="4" t="s">
        <v>49</v>
      </c>
      <c r="B15">
        <v>22</v>
      </c>
    </row>
    <row r="16" spans="1:4" x14ac:dyDescent="0.35">
      <c r="A16" s="4" t="s">
        <v>47</v>
      </c>
      <c r="B16">
        <v>18</v>
      </c>
    </row>
    <row r="17" spans="1:3" x14ac:dyDescent="0.35">
      <c r="A17" s="4" t="s">
        <v>16</v>
      </c>
      <c r="B17">
        <v>23</v>
      </c>
    </row>
    <row r="18" spans="1:3" x14ac:dyDescent="0.35">
      <c r="A18" s="4" t="s">
        <v>23</v>
      </c>
      <c r="B18">
        <v>26</v>
      </c>
    </row>
    <row r="19" spans="1:3" x14ac:dyDescent="0.35">
      <c r="A19" s="4" t="s">
        <v>41</v>
      </c>
      <c r="B19">
        <v>35</v>
      </c>
    </row>
    <row r="20" spans="1:3" ht="18.5" x14ac:dyDescent="0.45">
      <c r="A20" s="4" t="s">
        <v>29</v>
      </c>
      <c r="B20">
        <v>12</v>
      </c>
      <c r="C20" s="7"/>
    </row>
    <row r="21" spans="1:3" x14ac:dyDescent="0.35">
      <c r="A21" s="4" t="s">
        <v>38</v>
      </c>
      <c r="B21">
        <v>23</v>
      </c>
    </row>
    <row r="22" spans="1:3" x14ac:dyDescent="0.35">
      <c r="A22" s="4" t="s">
        <v>100</v>
      </c>
      <c r="B22">
        <v>159</v>
      </c>
    </row>
    <row r="23" spans="1:3" x14ac:dyDescent="0.35">
      <c r="A23" s="4"/>
    </row>
    <row r="24" spans="1:3" x14ac:dyDescent="0.35">
      <c r="A24" s="4"/>
    </row>
    <row r="25" spans="1:3" ht="18.5" x14ac:dyDescent="0.45">
      <c r="A25" s="7" t="s">
        <v>117</v>
      </c>
      <c r="B25" s="7"/>
      <c r="C25" s="2"/>
    </row>
    <row r="26" spans="1:3" x14ac:dyDescent="0.35">
      <c r="A26" s="4"/>
    </row>
    <row r="27" spans="1:3" x14ac:dyDescent="0.35">
      <c r="A27" s="3" t="s">
        <v>102</v>
      </c>
      <c r="B27" t="s">
        <v>104</v>
      </c>
    </row>
    <row r="28" spans="1:3" x14ac:dyDescent="0.35">
      <c r="A28" s="4" t="s">
        <v>42</v>
      </c>
      <c r="B28">
        <v>1125</v>
      </c>
    </row>
    <row r="29" spans="1:3" x14ac:dyDescent="0.35">
      <c r="A29" s="4" t="s">
        <v>17</v>
      </c>
      <c r="B29">
        <v>36136.36363636364</v>
      </c>
    </row>
    <row r="30" spans="1:3" x14ac:dyDescent="0.35">
      <c r="A30" s="4" t="s">
        <v>30</v>
      </c>
      <c r="B30">
        <v>11500</v>
      </c>
    </row>
    <row r="31" spans="1:3" x14ac:dyDescent="0.35">
      <c r="A31" s="4" t="s">
        <v>100</v>
      </c>
      <c r="B31">
        <v>21937.5</v>
      </c>
    </row>
    <row r="32" spans="1:3" x14ac:dyDescent="0.35">
      <c r="A32" s="4"/>
    </row>
    <row r="33" spans="1:4" x14ac:dyDescent="0.35">
      <c r="A33" s="4"/>
    </row>
    <row r="34" spans="1:4" ht="18.5" x14ac:dyDescent="0.45">
      <c r="A34" s="7" t="s">
        <v>106</v>
      </c>
      <c r="B34" s="7"/>
      <c r="C34" s="7"/>
      <c r="D34" s="2"/>
    </row>
    <row r="37" spans="1:4" x14ac:dyDescent="0.35">
      <c r="A37" s="3" t="s">
        <v>102</v>
      </c>
      <c r="B37" t="s">
        <v>101</v>
      </c>
    </row>
    <row r="38" spans="1:4" x14ac:dyDescent="0.35">
      <c r="A38" s="4" t="s">
        <v>15</v>
      </c>
      <c r="B38">
        <v>917000</v>
      </c>
    </row>
    <row r="39" spans="1:4" x14ac:dyDescent="0.35">
      <c r="A39" s="4" t="s">
        <v>28</v>
      </c>
      <c r="B39">
        <v>411000</v>
      </c>
    </row>
    <row r="40" spans="1:4" x14ac:dyDescent="0.35">
      <c r="A40" s="4" t="s">
        <v>35</v>
      </c>
      <c r="B40">
        <v>689500</v>
      </c>
    </row>
    <row r="41" spans="1:4" x14ac:dyDescent="0.35">
      <c r="A41" s="4" t="s">
        <v>22</v>
      </c>
      <c r="B41">
        <v>476300</v>
      </c>
    </row>
    <row r="42" spans="1:4" x14ac:dyDescent="0.35">
      <c r="A42" s="4" t="s">
        <v>100</v>
      </c>
      <c r="B42">
        <v>2493800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2AD01-7621-4452-9D7B-B15EE0A400B3}">
  <dimension ref="A1"/>
  <sheetViews>
    <sheetView workbookViewId="0">
      <selection activeCell="G6" sqref="G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B17" sqref="B17"/>
    </sheetView>
  </sheetViews>
  <sheetFormatPr defaultRowHeight="14.5" x14ac:dyDescent="0.35"/>
  <cols>
    <col min="1" max="3" width="70" customWidth="1"/>
  </cols>
  <sheetData>
    <row r="1" spans="1:2" x14ac:dyDescent="0.35">
      <c r="A1" t="s">
        <v>65</v>
      </c>
    </row>
    <row r="2" spans="1:2" x14ac:dyDescent="0.35">
      <c r="A2" t="s">
        <v>66</v>
      </c>
      <c r="B2" t="s">
        <v>67</v>
      </c>
    </row>
    <row r="3" spans="1:2" x14ac:dyDescent="0.35">
      <c r="A3" t="s">
        <v>68</v>
      </c>
      <c r="B3" t="s">
        <v>69</v>
      </c>
    </row>
    <row r="4" spans="1:2" x14ac:dyDescent="0.35">
      <c r="A4" t="s">
        <v>70</v>
      </c>
      <c r="B4" t="s">
        <v>71</v>
      </c>
    </row>
    <row r="5" spans="1:2" x14ac:dyDescent="0.35">
      <c r="A5" t="s">
        <v>72</v>
      </c>
      <c r="B5" t="s">
        <v>73</v>
      </c>
    </row>
    <row r="7" spans="1:2" x14ac:dyDescent="0.35">
      <c r="A7" t="s">
        <v>74</v>
      </c>
    </row>
    <row r="8" spans="1:2" x14ac:dyDescent="0.35">
      <c r="A8" t="s">
        <v>75</v>
      </c>
      <c r="B8" t="s">
        <v>76</v>
      </c>
    </row>
    <row r="9" spans="1:2" x14ac:dyDescent="0.35">
      <c r="A9" t="s">
        <v>77</v>
      </c>
      <c r="B9" t="s">
        <v>78</v>
      </c>
    </row>
    <row r="10" spans="1:2" x14ac:dyDescent="0.35">
      <c r="A10" t="s">
        <v>79</v>
      </c>
      <c r="B10" t="s">
        <v>80</v>
      </c>
    </row>
    <row r="12" spans="1:2" x14ac:dyDescent="0.35">
      <c r="A12" t="s">
        <v>81</v>
      </c>
    </row>
    <row r="13" spans="1:2" x14ac:dyDescent="0.35">
      <c r="A13" t="s">
        <v>82</v>
      </c>
      <c r="B13" t="s">
        <v>83</v>
      </c>
    </row>
    <row r="14" spans="1:2" x14ac:dyDescent="0.35">
      <c r="A14" t="s">
        <v>84</v>
      </c>
      <c r="B14" t="s">
        <v>85</v>
      </c>
    </row>
    <row r="15" spans="1:2" x14ac:dyDescent="0.35">
      <c r="A15" t="s">
        <v>86</v>
      </c>
      <c r="B15" t="s">
        <v>87</v>
      </c>
    </row>
    <row r="16" spans="1:2" x14ac:dyDescent="0.35">
      <c r="A16" t="s">
        <v>88</v>
      </c>
      <c r="B16" t="s">
        <v>89</v>
      </c>
    </row>
    <row r="17" spans="1:2" x14ac:dyDescent="0.35">
      <c r="A17" t="s">
        <v>90</v>
      </c>
      <c r="B17" t="s">
        <v>91</v>
      </c>
    </row>
    <row r="19" spans="1:2" x14ac:dyDescent="0.35">
      <c r="A19" t="s">
        <v>92</v>
      </c>
    </row>
    <row r="20" spans="1:2" x14ac:dyDescent="0.35">
      <c r="A20" t="s">
        <v>93</v>
      </c>
      <c r="B20" t="s">
        <v>94</v>
      </c>
    </row>
    <row r="21" spans="1:2" x14ac:dyDescent="0.35">
      <c r="A21" t="s">
        <v>95</v>
      </c>
      <c r="B21" t="s">
        <v>96</v>
      </c>
    </row>
    <row r="22" spans="1:2" x14ac:dyDescent="0.35">
      <c r="A22" t="s">
        <v>97</v>
      </c>
      <c r="B22" t="s">
        <v>98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A504-B7BC-41B1-BCF8-B065897EDFDC}">
  <dimension ref="A2:J34"/>
  <sheetViews>
    <sheetView topLeftCell="A2" workbookViewId="0">
      <selection activeCell="B29" sqref="B29"/>
    </sheetView>
  </sheetViews>
  <sheetFormatPr defaultRowHeight="14.5" x14ac:dyDescent="0.35"/>
  <cols>
    <col min="1" max="1" width="17.54296875" bestFit="1" customWidth="1"/>
    <col min="2" max="2" width="15.26953125" bestFit="1" customWidth="1"/>
    <col min="3" max="3" width="6.81640625" bestFit="1" customWidth="1"/>
    <col min="4" max="4" width="11.81640625" bestFit="1" customWidth="1"/>
    <col min="5" max="5" width="6.81640625" bestFit="1" customWidth="1"/>
    <col min="6" max="6" width="11.81640625" bestFit="1" customWidth="1"/>
  </cols>
  <sheetData>
    <row r="2" spans="1:7" ht="21" x14ac:dyDescent="0.5">
      <c r="A2" s="10" t="s">
        <v>74</v>
      </c>
      <c r="B2" s="10"/>
      <c r="C2" s="2"/>
    </row>
    <row r="3" spans="1:7" x14ac:dyDescent="0.35">
      <c r="A3" s="2"/>
      <c r="B3" s="2"/>
      <c r="C3" s="2"/>
    </row>
    <row r="4" spans="1:7" ht="18.5" x14ac:dyDescent="0.45">
      <c r="A4" s="7" t="s">
        <v>107</v>
      </c>
      <c r="B4" s="7"/>
      <c r="C4" s="7"/>
      <c r="D4" s="7"/>
      <c r="E4" s="7"/>
      <c r="F4" s="7"/>
    </row>
    <row r="6" spans="1:7" x14ac:dyDescent="0.35">
      <c r="A6" s="3" t="s">
        <v>101</v>
      </c>
      <c r="B6" s="3" t="s">
        <v>99</v>
      </c>
    </row>
    <row r="7" spans="1:7" x14ac:dyDescent="0.35">
      <c r="A7" s="3" t="s">
        <v>102</v>
      </c>
      <c r="B7" t="s">
        <v>15</v>
      </c>
      <c r="C7" t="s">
        <v>28</v>
      </c>
      <c r="D7" t="s">
        <v>35</v>
      </c>
      <c r="E7" t="s">
        <v>22</v>
      </c>
      <c r="F7" t="s">
        <v>100</v>
      </c>
    </row>
    <row r="8" spans="1:7" x14ac:dyDescent="0.35">
      <c r="A8" s="4" t="s">
        <v>26</v>
      </c>
      <c r="C8">
        <v>411000</v>
      </c>
      <c r="F8">
        <v>411000</v>
      </c>
    </row>
    <row r="9" spans="1:7" x14ac:dyDescent="0.35">
      <c r="A9" s="4" t="s">
        <v>13</v>
      </c>
      <c r="B9">
        <v>917000</v>
      </c>
      <c r="F9">
        <v>917000</v>
      </c>
    </row>
    <row r="10" spans="1:7" x14ac:dyDescent="0.35">
      <c r="A10" s="4" t="s">
        <v>33</v>
      </c>
      <c r="D10">
        <v>689500</v>
      </c>
      <c r="F10">
        <v>689500</v>
      </c>
    </row>
    <row r="11" spans="1:7" x14ac:dyDescent="0.35">
      <c r="A11" s="4" t="s">
        <v>20</v>
      </c>
      <c r="E11">
        <v>476300</v>
      </c>
      <c r="F11">
        <v>476300</v>
      </c>
    </row>
    <row r="12" spans="1:7" x14ac:dyDescent="0.35">
      <c r="A12" s="4" t="s">
        <v>100</v>
      </c>
      <c r="B12">
        <v>917000</v>
      </c>
      <c r="C12">
        <v>411000</v>
      </c>
      <c r="D12">
        <v>689500</v>
      </c>
      <c r="E12">
        <v>476300</v>
      </c>
      <c r="F12">
        <v>2493800</v>
      </c>
    </row>
    <row r="13" spans="1:7" x14ac:dyDescent="0.35">
      <c r="A13" s="4"/>
    </row>
    <row r="14" spans="1:7" x14ac:dyDescent="0.35">
      <c r="A14" s="4"/>
    </row>
    <row r="15" spans="1:7" ht="18.5" x14ac:dyDescent="0.45">
      <c r="A15" s="7" t="s">
        <v>109</v>
      </c>
      <c r="B15" s="9"/>
      <c r="C15" s="9"/>
      <c r="D15" s="9"/>
      <c r="E15" s="9"/>
      <c r="F15" s="9"/>
      <c r="G15" s="9"/>
    </row>
    <row r="17" spans="1:10" x14ac:dyDescent="0.35">
      <c r="A17" s="3" t="s">
        <v>108</v>
      </c>
      <c r="B17" s="3" t="s">
        <v>99</v>
      </c>
      <c r="J17" s="2"/>
    </row>
    <row r="18" spans="1:10" x14ac:dyDescent="0.35">
      <c r="A18" s="3" t="s">
        <v>102</v>
      </c>
      <c r="B18" t="s">
        <v>24</v>
      </c>
      <c r="C18" t="s">
        <v>31</v>
      </c>
      <c r="D18" t="s">
        <v>18</v>
      </c>
      <c r="E18" t="s">
        <v>100</v>
      </c>
    </row>
    <row r="19" spans="1:10" x14ac:dyDescent="0.35">
      <c r="A19" s="4" t="s">
        <v>15</v>
      </c>
      <c r="B19">
        <v>1</v>
      </c>
      <c r="C19">
        <v>2</v>
      </c>
      <c r="D19">
        <v>2</v>
      </c>
      <c r="E19">
        <v>5</v>
      </c>
    </row>
    <row r="20" spans="1:10" x14ac:dyDescent="0.35">
      <c r="A20" s="4" t="s">
        <v>28</v>
      </c>
      <c r="B20">
        <v>2</v>
      </c>
      <c r="C20">
        <v>1</v>
      </c>
      <c r="D20">
        <v>2</v>
      </c>
      <c r="E20">
        <v>5</v>
      </c>
    </row>
    <row r="21" spans="1:10" x14ac:dyDescent="0.35">
      <c r="A21" s="4" t="s">
        <v>35</v>
      </c>
      <c r="B21">
        <v>1</v>
      </c>
      <c r="C21">
        <v>2</v>
      </c>
      <c r="D21">
        <v>2</v>
      </c>
      <c r="E21">
        <v>5</v>
      </c>
    </row>
    <row r="22" spans="1:10" x14ac:dyDescent="0.35">
      <c r="A22" s="4" t="s">
        <v>22</v>
      </c>
      <c r="B22">
        <v>2</v>
      </c>
      <c r="C22">
        <v>2</v>
      </c>
      <c r="D22">
        <v>1</v>
      </c>
      <c r="E22">
        <v>5</v>
      </c>
    </row>
    <row r="23" spans="1:10" x14ac:dyDescent="0.35">
      <c r="A23" s="4" t="s">
        <v>100</v>
      </c>
      <c r="B23">
        <v>6</v>
      </c>
      <c r="C23">
        <v>7</v>
      </c>
      <c r="D23">
        <v>7</v>
      </c>
      <c r="E23">
        <v>20</v>
      </c>
    </row>
    <row r="27" spans="1:10" ht="18.5" x14ac:dyDescent="0.45">
      <c r="A27" s="7" t="s">
        <v>110</v>
      </c>
      <c r="B27" s="9"/>
      <c r="C27" s="9"/>
      <c r="D27" s="9"/>
      <c r="E27" s="9"/>
    </row>
    <row r="29" spans="1:10" x14ac:dyDescent="0.35">
      <c r="A29" s="3" t="s">
        <v>111</v>
      </c>
      <c r="B29" s="3" t="s">
        <v>99</v>
      </c>
    </row>
    <row r="30" spans="1:10" x14ac:dyDescent="0.35">
      <c r="A30" s="3" t="s">
        <v>102</v>
      </c>
      <c r="B30" t="s">
        <v>26</v>
      </c>
      <c r="C30" t="s">
        <v>13</v>
      </c>
      <c r="D30" t="s">
        <v>33</v>
      </c>
      <c r="E30" t="s">
        <v>20</v>
      </c>
      <c r="F30" t="s">
        <v>100</v>
      </c>
    </row>
    <row r="31" spans="1:10" x14ac:dyDescent="0.35">
      <c r="A31" s="4" t="s">
        <v>42</v>
      </c>
      <c r="B31">
        <v>15000</v>
      </c>
      <c r="C31">
        <v>18000</v>
      </c>
      <c r="D31">
        <v>13000</v>
      </c>
      <c r="E31">
        <v>10400</v>
      </c>
      <c r="F31">
        <v>13300</v>
      </c>
    </row>
    <row r="32" spans="1:10" x14ac:dyDescent="0.35">
      <c r="A32" s="4" t="s">
        <v>17</v>
      </c>
      <c r="B32">
        <v>156750</v>
      </c>
      <c r="C32">
        <v>224750</v>
      </c>
      <c r="D32">
        <v>221166.66666666666</v>
      </c>
      <c r="E32">
        <v>200250</v>
      </c>
      <c r="F32">
        <v>206954.54545454544</v>
      </c>
    </row>
    <row r="33" spans="1:6" x14ac:dyDescent="0.35">
      <c r="A33" s="4" t="s">
        <v>30</v>
      </c>
      <c r="B33">
        <v>41250</v>
      </c>
      <c r="E33">
        <v>55000</v>
      </c>
      <c r="F33">
        <v>45833.333333333336</v>
      </c>
    </row>
    <row r="34" spans="1:6" x14ac:dyDescent="0.35">
      <c r="A34" s="4" t="s">
        <v>100</v>
      </c>
      <c r="B34">
        <v>82200</v>
      </c>
      <c r="C34">
        <v>183400</v>
      </c>
      <c r="D34">
        <v>137900</v>
      </c>
      <c r="E34">
        <v>95260</v>
      </c>
      <c r="F34">
        <v>124690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Sheet4</vt:lpstr>
      <vt:lpstr>Sheet5</vt:lpstr>
      <vt:lpstr>Sheet2</vt:lpstr>
      <vt:lpstr>dashboard</vt:lpstr>
      <vt:lpstr>Pivot Tasks</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saksham jain</cp:lastModifiedBy>
  <dcterms:created xsi:type="dcterms:W3CDTF">2025-10-24T05:41:44Z</dcterms:created>
  <dcterms:modified xsi:type="dcterms:W3CDTF">2025-12-01T05:48:56Z</dcterms:modified>
</cp:coreProperties>
</file>